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vloka/Desktop/Orbital Cellulitis /OC and Viruses/"/>
    </mc:Choice>
  </mc:AlternateContent>
  <xr:revisionPtr revIDLastSave="0" documentId="13_ncr:1_{C7D5FCF7-BDC4-A140-AC0C-E433A87D17DA}" xr6:coauthVersionLast="47" xr6:coauthVersionMax="47" xr10:uidLastSave="{00000000-0000-0000-0000-000000000000}"/>
  <bookViews>
    <workbookView xWindow="-160" yWindow="760" windowWidth="16640" windowHeight="10760" activeTab="6" xr2:uid="{402C5AFE-D850-1148-9990-46730F26DF75}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USE THIS!" sheetId="6" r:id="rId7"/>
    <sheet name="Sheet7" sheetId="7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9" l="1"/>
  <c r="H9" i="9"/>
  <c r="K8" i="9"/>
  <c r="J8" i="9"/>
  <c r="D8" i="9"/>
  <c r="E8" i="9"/>
  <c r="F8" i="9"/>
  <c r="G8" i="9"/>
  <c r="C8" i="9"/>
  <c r="I8" i="9"/>
  <c r="H8" i="9"/>
  <c r="K7" i="9"/>
  <c r="J7" i="9"/>
  <c r="H7" i="9"/>
  <c r="G7" i="9"/>
  <c r="D7" i="9"/>
  <c r="E7" i="9"/>
  <c r="C7" i="9"/>
  <c r="J70" i="7"/>
  <c r="H70" i="7"/>
  <c r="F70" i="7"/>
  <c r="J69" i="7"/>
  <c r="H69" i="7"/>
  <c r="F69" i="7"/>
  <c r="J68" i="7"/>
  <c r="H68" i="7"/>
  <c r="F68" i="7"/>
  <c r="J67" i="7"/>
  <c r="H67" i="7"/>
  <c r="F67" i="7"/>
  <c r="J66" i="7"/>
  <c r="H66" i="7"/>
  <c r="F66" i="7"/>
  <c r="J65" i="7"/>
  <c r="H65" i="7"/>
  <c r="F65" i="7"/>
  <c r="J64" i="7"/>
  <c r="H64" i="7"/>
  <c r="F64" i="7"/>
  <c r="J63" i="7"/>
  <c r="H63" i="7"/>
  <c r="F63" i="7"/>
  <c r="J62" i="7"/>
  <c r="H62" i="7"/>
  <c r="F62" i="7"/>
  <c r="J61" i="7"/>
  <c r="H61" i="7"/>
  <c r="F61" i="7"/>
  <c r="J60" i="7"/>
  <c r="H60" i="7"/>
  <c r="F60" i="7"/>
  <c r="J59" i="7"/>
  <c r="H59" i="7"/>
  <c r="F59" i="7"/>
  <c r="J58" i="7"/>
  <c r="H58" i="7"/>
  <c r="F58" i="7"/>
  <c r="J57" i="7"/>
  <c r="H57" i="7"/>
  <c r="F57" i="7"/>
  <c r="J56" i="7"/>
  <c r="H56" i="7"/>
  <c r="F56" i="7"/>
  <c r="J55" i="7"/>
  <c r="H55" i="7"/>
  <c r="F55" i="7"/>
  <c r="J54" i="7"/>
  <c r="H54" i="7"/>
  <c r="F54" i="7"/>
  <c r="J53" i="7"/>
  <c r="H53" i="7"/>
  <c r="F53" i="7"/>
  <c r="J52" i="7"/>
  <c r="H52" i="7"/>
  <c r="F52" i="7"/>
  <c r="J51" i="7"/>
  <c r="H51" i="7"/>
  <c r="F51" i="7"/>
  <c r="J50" i="7"/>
  <c r="H50" i="7"/>
  <c r="F50" i="7"/>
  <c r="J49" i="7"/>
  <c r="H49" i="7"/>
  <c r="F49" i="7"/>
  <c r="J48" i="7"/>
  <c r="H48" i="7"/>
  <c r="F48" i="7"/>
  <c r="J47" i="7"/>
  <c r="H47" i="7"/>
  <c r="F47" i="7"/>
  <c r="J46" i="7"/>
  <c r="H46" i="7"/>
  <c r="F46" i="7"/>
  <c r="J45" i="7"/>
  <c r="H45" i="7"/>
  <c r="F45" i="7"/>
  <c r="J44" i="7"/>
  <c r="H44" i="7"/>
  <c r="F44" i="7"/>
  <c r="J43" i="7"/>
  <c r="H43" i="7"/>
  <c r="F43" i="7"/>
  <c r="J42" i="7"/>
  <c r="H42" i="7"/>
  <c r="F42" i="7"/>
  <c r="J41" i="7"/>
  <c r="H41" i="7"/>
  <c r="F41" i="7"/>
  <c r="J40" i="7"/>
  <c r="H40" i="7"/>
  <c r="F40" i="7"/>
  <c r="J39" i="7"/>
  <c r="H39" i="7"/>
  <c r="F39" i="7"/>
  <c r="J38" i="7"/>
  <c r="H38" i="7"/>
  <c r="F38" i="7"/>
  <c r="J37" i="7"/>
  <c r="H37" i="7"/>
  <c r="F37" i="7"/>
  <c r="J36" i="7"/>
  <c r="H36" i="7"/>
  <c r="F36" i="7"/>
  <c r="J35" i="7"/>
  <c r="H35" i="7"/>
  <c r="F35" i="7"/>
  <c r="J34" i="7"/>
  <c r="H34" i="7"/>
  <c r="F34" i="7"/>
  <c r="J33" i="7"/>
  <c r="H33" i="7"/>
  <c r="F33" i="7"/>
  <c r="J32" i="7"/>
  <c r="H32" i="7"/>
  <c r="F32" i="7"/>
  <c r="J31" i="7"/>
  <c r="H31" i="7"/>
  <c r="F31" i="7"/>
  <c r="J30" i="7"/>
  <c r="H30" i="7"/>
  <c r="F30" i="7"/>
  <c r="J29" i="7"/>
  <c r="H29" i="7"/>
  <c r="F29" i="7"/>
  <c r="J28" i="7"/>
  <c r="H28" i="7"/>
  <c r="F28" i="7"/>
  <c r="J27" i="7"/>
  <c r="H27" i="7"/>
  <c r="F27" i="7"/>
  <c r="J26" i="7"/>
  <c r="H26" i="7"/>
  <c r="F26" i="7"/>
  <c r="J25" i="7"/>
  <c r="H25" i="7"/>
  <c r="F25" i="7"/>
  <c r="J24" i="7"/>
  <c r="H24" i="7"/>
  <c r="F24" i="7"/>
  <c r="J23" i="7"/>
  <c r="H23" i="7"/>
  <c r="F23" i="7"/>
  <c r="J22" i="7"/>
  <c r="H22" i="7"/>
  <c r="F22" i="7"/>
  <c r="J21" i="7"/>
  <c r="H21" i="7"/>
  <c r="F21" i="7"/>
  <c r="J20" i="7"/>
  <c r="H20" i="7"/>
  <c r="F20" i="7"/>
  <c r="J19" i="7"/>
  <c r="H19" i="7"/>
  <c r="F19" i="7"/>
  <c r="J18" i="7"/>
  <c r="H18" i="7"/>
  <c r="F18" i="7"/>
  <c r="J17" i="7"/>
  <c r="H17" i="7"/>
  <c r="F17" i="7"/>
  <c r="J16" i="7"/>
  <c r="H16" i="7"/>
  <c r="F16" i="7"/>
  <c r="J15" i="7"/>
  <c r="H15" i="7"/>
  <c r="F15" i="7"/>
  <c r="J14" i="7"/>
  <c r="H14" i="7"/>
  <c r="F14" i="7"/>
  <c r="J13" i="7"/>
  <c r="H13" i="7"/>
  <c r="F13" i="7"/>
  <c r="J12" i="7"/>
  <c r="H12" i="7"/>
  <c r="F12" i="7"/>
  <c r="J11" i="7"/>
  <c r="H11" i="7"/>
  <c r="F11" i="7"/>
  <c r="B73" i="5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11" i="4"/>
  <c r="G8" i="2"/>
  <c r="E4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3" i="2"/>
  <c r="K5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3" i="2"/>
  <c r="G4" i="2"/>
  <c r="G5" i="2"/>
  <c r="G6" i="2"/>
  <c r="G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3" i="2"/>
  <c r="C5" i="2"/>
  <c r="C58" i="2"/>
  <c r="C4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3" i="2"/>
  <c r="B74" i="1"/>
</calcChain>
</file>

<file path=xl/sharedStrings.xml><?xml version="1.0" encoding="utf-8"?>
<sst xmlns="http://schemas.openxmlformats.org/spreadsheetml/2006/main" count="481" uniqueCount="124">
  <si>
    <t>Orbital Cellulitis Admissions</t>
  </si>
  <si>
    <t>COVID numbers</t>
  </si>
  <si>
    <t>CDC RSV positive</t>
  </si>
  <si>
    <t>CDC Flu positive</t>
  </si>
  <si>
    <t>CDC RV/EV Positive</t>
  </si>
  <si>
    <t>CDC HMPV positive</t>
  </si>
  <si>
    <t>CDC Adeno positive</t>
  </si>
  <si>
    <t>CDC HCOV Positive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</si>
  <si>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</si>
  <si>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</si>
  <si>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</si>
  <si>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</si>
  <si>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</si>
  <si>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</si>
  <si>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</si>
  <si>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</si>
  <si>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</si>
  <si>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</si>
  <si>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</si>
  <si>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</si>
  <si>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</si>
  <si>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</si>
  <si>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</si>
  <si>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</si>
  <si>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</si>
  <si>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</si>
  <si>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</si>
  <si>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</si>
  <si>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</si>
  <si>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</si>
  <si>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 xml:space="preserve">February 2020 </t>
  </si>
  <si>
    <t>March 2020</t>
  </si>
  <si>
    <t>April 2020</t>
  </si>
  <si>
    <t>May 2020</t>
  </si>
  <si>
    <t>June 2020</t>
  </si>
  <si>
    <t>July 2020</t>
  </si>
  <si>
    <t>August 2020</t>
  </si>
  <si>
    <t xml:space="preserve">September 2020 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</si>
  <si>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</si>
  <si>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</si>
  <si>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</si>
  <si>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</si>
  <si>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</si>
  <si>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</si>
  <si>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</si>
  <si>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</si>
  <si>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</si>
  <si>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</si>
  <si>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</si>
  <si>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</si>
  <si>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</si>
  <si>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</si>
  <si>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</si>
  <si>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</si>
  <si>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</si>
  <si>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</si>
  <si>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</si>
  <si>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</si>
  <si>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</si>
  <si>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</si>
  <si>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</si>
  <si>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</si>
  <si>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</si>
  <si>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</si>
  <si>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</si>
  <si>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</si>
  <si>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</si>
  <si>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</si>
  <si>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</si>
  <si>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</si>
  <si>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</si>
  <si>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</si>
  <si>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</si>
  <si>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</si>
  <si>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</si>
  <si>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</si>
  <si>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</si>
  <si>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</si>
  <si>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</si>
  <si>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</si>
  <si>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HCOV</t>
  </si>
  <si>
    <t>RV/EV</t>
  </si>
  <si>
    <t>PIV</t>
  </si>
  <si>
    <t>RSV</t>
  </si>
  <si>
    <t>Flu A</t>
  </si>
  <si>
    <t>Flu B</t>
  </si>
  <si>
    <t>Adeno</t>
  </si>
  <si>
    <t>HPMV</t>
  </si>
  <si>
    <t>Paraflu 1</t>
  </si>
  <si>
    <t>Paraflu 2</t>
  </si>
  <si>
    <t>Paraflu 3</t>
  </si>
  <si>
    <t>Paraflu 4</t>
  </si>
  <si>
    <t>Coronavirus other</t>
  </si>
  <si>
    <t>Flu A/B</t>
  </si>
  <si>
    <t>Flu</t>
  </si>
  <si>
    <t>Para1</t>
  </si>
  <si>
    <t>Para2</t>
  </si>
  <si>
    <t>Para3</t>
  </si>
  <si>
    <t>Para4</t>
  </si>
  <si>
    <t>Corona Other</t>
  </si>
  <si>
    <t>Virus</t>
  </si>
  <si>
    <t>Respiratory syncytial virus</t>
  </si>
  <si>
    <t>Influenza</t>
  </si>
  <si>
    <t>Parainfluenza 1</t>
  </si>
  <si>
    <t>Adenovirus</t>
  </si>
  <si>
    <t>Rhino/enterovirus</t>
  </si>
  <si>
    <t>H. Metapneumovirus</t>
  </si>
  <si>
    <t>Parainfluenza 2</t>
  </si>
  <si>
    <t>Parainfluenza 3</t>
  </si>
  <si>
    <t>Parainfluenza 4</t>
  </si>
  <si>
    <t>R Value</t>
  </si>
  <si>
    <t>P value</t>
  </si>
  <si>
    <t>&lt;0.00001</t>
  </si>
  <si>
    <t>Table 1: Pearson Correlation Coefficients (r) for viral rates and orbital cellulitis in Colorado from 2020-2025</t>
  </si>
  <si>
    <t>Non-Endemic Coronavirus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</si>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</sst>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RSV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F-6344-9A96-7D5E50CD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Sheet1!$D$17:$D$73</c:f>
              <c:numCache>
                <c:formatCode>General</c:formatCode>
                <c:ptCount val="57"/>
                <c:pt idx="0">
                  <c:v>0.4</c:v>
                </c:pt>
                <c:pt idx="1">
                  <c:v>0.21000000000000002</c:v>
                </c:pt>
                <c:pt idx="2">
                  <c:v>0.27749999999999997</c:v>
                </c:pt>
                <c:pt idx="3">
                  <c:v>0.42800000000000005</c:v>
                </c:pt>
                <c:pt idx="4">
                  <c:v>2.835</c:v>
                </c:pt>
                <c:pt idx="5">
                  <c:v>10.196000000000002</c:v>
                </c:pt>
                <c:pt idx="6">
                  <c:v>18.5275</c:v>
                </c:pt>
                <c:pt idx="7">
                  <c:v>17.817499999999999</c:v>
                </c:pt>
                <c:pt idx="8">
                  <c:v>9.5620000000000012</c:v>
                </c:pt>
                <c:pt idx="9">
                  <c:v>2.7600000000000002</c:v>
                </c:pt>
                <c:pt idx="10">
                  <c:v>0.46499999999999997</c:v>
                </c:pt>
                <c:pt idx="11">
                  <c:v>0.53249999999999997</c:v>
                </c:pt>
                <c:pt idx="12">
                  <c:v>0.1275</c:v>
                </c:pt>
                <c:pt idx="13">
                  <c:v>5.7500000000000002E-2</c:v>
                </c:pt>
                <c:pt idx="14">
                  <c:v>3.4000000000000002E-2</c:v>
                </c:pt>
                <c:pt idx="15">
                  <c:v>1.4999999999999999E-2</c:v>
                </c:pt>
                <c:pt idx="16">
                  <c:v>5.6000000000000008E-2</c:v>
                </c:pt>
                <c:pt idx="17">
                  <c:v>2.2499999999999999E-2</c:v>
                </c:pt>
                <c:pt idx="18">
                  <c:v>1.7500000000000002E-2</c:v>
                </c:pt>
                <c:pt idx="19">
                  <c:v>0.02</c:v>
                </c:pt>
                <c:pt idx="20">
                  <c:v>3.5000000000000003E-2</c:v>
                </c:pt>
                <c:pt idx="21">
                  <c:v>0.14750000000000002</c:v>
                </c:pt>
                <c:pt idx="22">
                  <c:v>0.31499999999999995</c:v>
                </c:pt>
                <c:pt idx="23">
                  <c:v>1.204</c:v>
                </c:pt>
                <c:pt idx="24">
                  <c:v>4.7860000000000005</c:v>
                </c:pt>
                <c:pt idx="25">
                  <c:v>8.43</c:v>
                </c:pt>
                <c:pt idx="26">
                  <c:v>9.0540000000000003</c:v>
                </c:pt>
                <c:pt idx="27">
                  <c:v>10.155000000000001</c:v>
                </c:pt>
                <c:pt idx="28">
                  <c:v>9.1020000000000003</c:v>
                </c:pt>
                <c:pt idx="29">
                  <c:v>7.8860000000000001</c:v>
                </c:pt>
                <c:pt idx="30">
                  <c:v>2.8899999999999997</c:v>
                </c:pt>
                <c:pt idx="31">
                  <c:v>1.4175</c:v>
                </c:pt>
                <c:pt idx="32">
                  <c:v>1.484</c:v>
                </c:pt>
                <c:pt idx="33">
                  <c:v>0.79999999999999993</c:v>
                </c:pt>
                <c:pt idx="34">
                  <c:v>0.84750000000000003</c:v>
                </c:pt>
                <c:pt idx="35">
                  <c:v>0.85799999999999998</c:v>
                </c:pt>
                <c:pt idx="36">
                  <c:v>0.98</c:v>
                </c:pt>
                <c:pt idx="37">
                  <c:v>1.042</c:v>
                </c:pt>
                <c:pt idx="38">
                  <c:v>1.81</c:v>
                </c:pt>
                <c:pt idx="39">
                  <c:v>8.6425000000000001</c:v>
                </c:pt>
                <c:pt idx="40">
                  <c:v>18.207999999999998</c:v>
                </c:pt>
                <c:pt idx="41">
                  <c:v>12.62</c:v>
                </c:pt>
                <c:pt idx="42">
                  <c:v>8.4149999999999991</c:v>
                </c:pt>
                <c:pt idx="43">
                  <c:v>3.55</c:v>
                </c:pt>
                <c:pt idx="44">
                  <c:v>1.22</c:v>
                </c:pt>
                <c:pt idx="45">
                  <c:v>0.78749999999999998</c:v>
                </c:pt>
                <c:pt idx="46">
                  <c:v>0.30249999999999999</c:v>
                </c:pt>
                <c:pt idx="47">
                  <c:v>0.17599999999999999</c:v>
                </c:pt>
                <c:pt idx="48">
                  <c:v>0.29500000000000004</c:v>
                </c:pt>
                <c:pt idx="49">
                  <c:v>0.38600000000000001</c:v>
                </c:pt>
                <c:pt idx="50">
                  <c:v>0.27500000000000002</c:v>
                </c:pt>
                <c:pt idx="51">
                  <c:v>1.0825</c:v>
                </c:pt>
                <c:pt idx="52">
                  <c:v>3.8439999999999999</c:v>
                </c:pt>
                <c:pt idx="53">
                  <c:v>9.8349999999999991</c:v>
                </c:pt>
                <c:pt idx="54">
                  <c:v>11.832500000000001</c:v>
                </c:pt>
                <c:pt idx="55">
                  <c:v>9.8179999999999996</c:v>
                </c:pt>
                <c:pt idx="56">
                  <c:v>6.5474999999999994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F-6344-9A96-7D5E50CD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Flu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D-8245-B5CD-D23E9546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Sheet1!$E$17:$E$73</c:f>
              <c:numCache>
                <c:formatCode>General</c:formatCode>
                <c:ptCount val="57"/>
                <c:pt idx="0">
                  <c:v>1.4975000000000001</c:v>
                </c:pt>
                <c:pt idx="1">
                  <c:v>1.0049999999999999</c:v>
                </c:pt>
                <c:pt idx="2">
                  <c:v>0.73250000000000004</c:v>
                </c:pt>
                <c:pt idx="3">
                  <c:v>1.4379999999999999</c:v>
                </c:pt>
                <c:pt idx="4">
                  <c:v>5.3774999999999995</c:v>
                </c:pt>
                <c:pt idx="5">
                  <c:v>15.934999999999999</c:v>
                </c:pt>
                <c:pt idx="6">
                  <c:v>28.25</c:v>
                </c:pt>
                <c:pt idx="7">
                  <c:v>31.125</c:v>
                </c:pt>
                <c:pt idx="8">
                  <c:v>20.36</c:v>
                </c:pt>
                <c:pt idx="9">
                  <c:v>0.89600000000000013</c:v>
                </c:pt>
                <c:pt idx="10">
                  <c:v>2.5000000000000001E-2</c:v>
                </c:pt>
                <c:pt idx="11">
                  <c:v>0.43200000000000005</c:v>
                </c:pt>
                <c:pt idx="12">
                  <c:v>7.7499999999999999E-2</c:v>
                </c:pt>
                <c:pt idx="13">
                  <c:v>0.03</c:v>
                </c:pt>
                <c:pt idx="14">
                  <c:v>2.2499999999999999E-2</c:v>
                </c:pt>
                <c:pt idx="15">
                  <c:v>0.05</c:v>
                </c:pt>
                <c:pt idx="16">
                  <c:v>4.7500000000000001E-2</c:v>
                </c:pt>
                <c:pt idx="17">
                  <c:v>2.8000000000000004E-2</c:v>
                </c:pt>
                <c:pt idx="18">
                  <c:v>2.8000000000000004E-2</c:v>
                </c:pt>
                <c:pt idx="19">
                  <c:v>1.2500000000000001E-2</c:v>
                </c:pt>
                <c:pt idx="20">
                  <c:v>0</c:v>
                </c:pt>
                <c:pt idx="21">
                  <c:v>1.4999999999999999E-2</c:v>
                </c:pt>
                <c:pt idx="22">
                  <c:v>0</c:v>
                </c:pt>
                <c:pt idx="23">
                  <c:v>0</c:v>
                </c:pt>
                <c:pt idx="24">
                  <c:v>1.4999999999999999E-2</c:v>
                </c:pt>
                <c:pt idx="25">
                  <c:v>1.2500000000000001E-2</c:v>
                </c:pt>
                <c:pt idx="26">
                  <c:v>3.8000000000000006E-2</c:v>
                </c:pt>
                <c:pt idx="27">
                  <c:v>6.5000000000000002E-2</c:v>
                </c:pt>
                <c:pt idx="28">
                  <c:v>0.21500000000000002</c:v>
                </c:pt>
                <c:pt idx="29">
                  <c:v>3.69</c:v>
                </c:pt>
                <c:pt idx="30">
                  <c:v>5.3550000000000004</c:v>
                </c:pt>
                <c:pt idx="31">
                  <c:v>5.74</c:v>
                </c:pt>
                <c:pt idx="32">
                  <c:v>5.8319999999999999</c:v>
                </c:pt>
                <c:pt idx="33">
                  <c:v>9.0875000000000004</c:v>
                </c:pt>
                <c:pt idx="34">
                  <c:v>7.6574999999999989</c:v>
                </c:pt>
                <c:pt idx="35">
                  <c:v>2.9160000000000004</c:v>
                </c:pt>
                <c:pt idx="36">
                  <c:v>0.20749999999999999</c:v>
                </c:pt>
                <c:pt idx="37">
                  <c:v>0.14750000000000002</c:v>
                </c:pt>
                <c:pt idx="38">
                  <c:v>0.10799999999999998</c:v>
                </c:pt>
                <c:pt idx="39">
                  <c:v>0.64</c:v>
                </c:pt>
                <c:pt idx="40">
                  <c:v>11.463999999999999</c:v>
                </c:pt>
                <c:pt idx="41">
                  <c:v>24.427499999999998</c:v>
                </c:pt>
                <c:pt idx="42">
                  <c:v>11.3775</c:v>
                </c:pt>
                <c:pt idx="43">
                  <c:v>2.5649999999999999</c:v>
                </c:pt>
                <c:pt idx="44">
                  <c:v>1.1440000000000001</c:v>
                </c:pt>
                <c:pt idx="45">
                  <c:v>1.5</c:v>
                </c:pt>
                <c:pt idx="46">
                  <c:v>1.165</c:v>
                </c:pt>
                <c:pt idx="47">
                  <c:v>0.874</c:v>
                </c:pt>
                <c:pt idx="48">
                  <c:v>0.86499999999999999</c:v>
                </c:pt>
                <c:pt idx="49">
                  <c:v>0.52400000000000002</c:v>
                </c:pt>
                <c:pt idx="50">
                  <c:v>0.46250000000000002</c:v>
                </c:pt>
                <c:pt idx="51">
                  <c:v>1.27</c:v>
                </c:pt>
                <c:pt idx="52">
                  <c:v>7.3780000000000001</c:v>
                </c:pt>
                <c:pt idx="53">
                  <c:v>19.7775</c:v>
                </c:pt>
                <c:pt idx="54">
                  <c:v>23.337499999999999</c:v>
                </c:pt>
                <c:pt idx="55">
                  <c:v>19.282</c:v>
                </c:pt>
                <c:pt idx="56">
                  <c:v>12.287500000000001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D-8245-B5CD-D23E9546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RV/EV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D-2B4F-A762-651A6942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Sheet1!$F$17:$F$73</c:f>
              <c:numCache>
                <c:formatCode>General</c:formatCode>
                <c:ptCount val="57"/>
                <c:pt idx="0">
                  <c:v>17.193333333333332</c:v>
                </c:pt>
                <c:pt idx="1">
                  <c:v>19.518000000000001</c:v>
                </c:pt>
                <c:pt idx="2">
                  <c:v>34.6875</c:v>
                </c:pt>
                <c:pt idx="3">
                  <c:v>29.491999999999997</c:v>
                </c:pt>
                <c:pt idx="4">
                  <c:v>21.6525</c:v>
                </c:pt>
                <c:pt idx="5">
                  <c:v>16.697499999999998</c:v>
                </c:pt>
                <c:pt idx="6">
                  <c:v>10.542</c:v>
                </c:pt>
                <c:pt idx="7">
                  <c:v>11.7475</c:v>
                </c:pt>
                <c:pt idx="8">
                  <c:v>13.404999999999999</c:v>
                </c:pt>
                <c:pt idx="9">
                  <c:v>8.1325000000000003</c:v>
                </c:pt>
                <c:pt idx="10">
                  <c:v>4.0519999999999996</c:v>
                </c:pt>
                <c:pt idx="11">
                  <c:v>5.0175000000000001</c:v>
                </c:pt>
                <c:pt idx="12">
                  <c:v>11.115</c:v>
                </c:pt>
                <c:pt idx="13">
                  <c:v>9.7720000000000002</c:v>
                </c:pt>
                <c:pt idx="14">
                  <c:v>19.244</c:v>
                </c:pt>
                <c:pt idx="15">
                  <c:v>19.03</c:v>
                </c:pt>
                <c:pt idx="16">
                  <c:v>13.2075</c:v>
                </c:pt>
                <c:pt idx="17">
                  <c:v>8.7140000000000004</c:v>
                </c:pt>
                <c:pt idx="18">
                  <c:v>8.1775000000000002</c:v>
                </c:pt>
                <c:pt idx="19">
                  <c:v>12.495000000000001</c:v>
                </c:pt>
                <c:pt idx="20">
                  <c:v>12.685</c:v>
                </c:pt>
                <c:pt idx="21">
                  <c:v>12.898000000000001</c:v>
                </c:pt>
                <c:pt idx="22">
                  <c:v>12.395</c:v>
                </c:pt>
                <c:pt idx="23">
                  <c:v>15.914000000000001</c:v>
                </c:pt>
                <c:pt idx="24">
                  <c:v>19.762499999999999</c:v>
                </c:pt>
                <c:pt idx="25">
                  <c:v>21.09</c:v>
                </c:pt>
                <c:pt idx="26">
                  <c:v>26.242000000000001</c:v>
                </c:pt>
                <c:pt idx="27">
                  <c:v>22.61</c:v>
                </c:pt>
                <c:pt idx="28">
                  <c:v>19.689999999999998</c:v>
                </c:pt>
                <c:pt idx="29">
                  <c:v>14.742000000000001</c:v>
                </c:pt>
                <c:pt idx="30">
                  <c:v>6.5939999999999994</c:v>
                </c:pt>
                <c:pt idx="31">
                  <c:v>8.3175000000000008</c:v>
                </c:pt>
                <c:pt idx="32">
                  <c:v>16.648</c:v>
                </c:pt>
                <c:pt idx="33">
                  <c:v>16.7225</c:v>
                </c:pt>
                <c:pt idx="34">
                  <c:v>15.164999999999999</c:v>
                </c:pt>
                <c:pt idx="35">
                  <c:v>13.858000000000001</c:v>
                </c:pt>
                <c:pt idx="36">
                  <c:v>10.585000000000001</c:v>
                </c:pt>
                <c:pt idx="37">
                  <c:v>17.494999999999997</c:v>
                </c:pt>
                <c:pt idx="38">
                  <c:v>31.154000000000003</c:v>
                </c:pt>
                <c:pt idx="39">
                  <c:v>28.252500000000001</c:v>
                </c:pt>
                <c:pt idx="40">
                  <c:v>18.667999999999999</c:v>
                </c:pt>
                <c:pt idx="41">
                  <c:v>9.9875000000000007</c:v>
                </c:pt>
                <c:pt idx="42">
                  <c:v>9.9480000000000004</c:v>
                </c:pt>
                <c:pt idx="43">
                  <c:v>16.116666666666664</c:v>
                </c:pt>
                <c:pt idx="44">
                  <c:v>12.972</c:v>
                </c:pt>
                <c:pt idx="45">
                  <c:v>15.522500000000001</c:v>
                </c:pt>
                <c:pt idx="46">
                  <c:v>22.25</c:v>
                </c:pt>
                <c:pt idx="47">
                  <c:v>19.777999999999999</c:v>
                </c:pt>
                <c:pt idx="48">
                  <c:v>14.935</c:v>
                </c:pt>
                <c:pt idx="49">
                  <c:v>15.206</c:v>
                </c:pt>
                <c:pt idx="50">
                  <c:v>25.647500000000001</c:v>
                </c:pt>
                <c:pt idx="51">
                  <c:v>19.942499999999999</c:v>
                </c:pt>
                <c:pt idx="52">
                  <c:v>17.360000000000003</c:v>
                </c:pt>
                <c:pt idx="53">
                  <c:v>12.395</c:v>
                </c:pt>
                <c:pt idx="54">
                  <c:v>9.65</c:v>
                </c:pt>
                <c:pt idx="55">
                  <c:v>12.048</c:v>
                </c:pt>
                <c:pt idx="56">
                  <c:v>11.620000000000001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D-2B4F-A762-651A6942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HMPV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5-0D40-8035-F4DD99A6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Sheet1!$G$17:$G$73</c:f>
              <c:numCache>
                <c:formatCode>General</c:formatCode>
                <c:ptCount val="57"/>
                <c:pt idx="0">
                  <c:v>1.2233333333333334</c:v>
                </c:pt>
                <c:pt idx="1">
                  <c:v>9.1999999999999998E-2</c:v>
                </c:pt>
                <c:pt idx="2">
                  <c:v>0.38999999999999996</c:v>
                </c:pt>
                <c:pt idx="3">
                  <c:v>0.30999999999999994</c:v>
                </c:pt>
                <c:pt idx="4">
                  <c:v>0.82</c:v>
                </c:pt>
                <c:pt idx="5">
                  <c:v>2.4449999999999998</c:v>
                </c:pt>
                <c:pt idx="6">
                  <c:v>6.5139999999999985</c:v>
                </c:pt>
                <c:pt idx="7">
                  <c:v>8.7074999999999996</c:v>
                </c:pt>
                <c:pt idx="8">
                  <c:v>9.2140000000000022</c:v>
                </c:pt>
                <c:pt idx="9">
                  <c:v>2.9859999999999998</c:v>
                </c:pt>
                <c:pt idx="10">
                  <c:v>0.25</c:v>
                </c:pt>
                <c:pt idx="11">
                  <c:v>0.06</c:v>
                </c:pt>
                <c:pt idx="12">
                  <c:v>4.3999999999999997E-2</c:v>
                </c:pt>
                <c:pt idx="13">
                  <c:v>7.2499999999999995E-2</c:v>
                </c:pt>
                <c:pt idx="14">
                  <c:v>4.5999999999999999E-2</c:v>
                </c:pt>
                <c:pt idx="15">
                  <c:v>0.57000000000000006</c:v>
                </c:pt>
                <c:pt idx="16">
                  <c:v>0.08</c:v>
                </c:pt>
                <c:pt idx="17">
                  <c:v>1.6E-2</c:v>
                </c:pt>
                <c:pt idx="18">
                  <c:v>0</c:v>
                </c:pt>
                <c:pt idx="19">
                  <c:v>8.7499999999999994E-2</c:v>
                </c:pt>
                <c:pt idx="20">
                  <c:v>0</c:v>
                </c:pt>
                <c:pt idx="21">
                  <c:v>7.8E-2</c:v>
                </c:pt>
                <c:pt idx="22">
                  <c:v>0.17249999999999999</c:v>
                </c:pt>
                <c:pt idx="23">
                  <c:v>0</c:v>
                </c:pt>
                <c:pt idx="24">
                  <c:v>0.11399999999999999</c:v>
                </c:pt>
                <c:pt idx="25">
                  <c:v>8.7499999999999994E-2</c:v>
                </c:pt>
                <c:pt idx="26">
                  <c:v>0.23800000000000004</c:v>
                </c:pt>
                <c:pt idx="27">
                  <c:v>0.45499999999999996</c:v>
                </c:pt>
                <c:pt idx="28">
                  <c:v>1.3859999999999999</c:v>
                </c:pt>
                <c:pt idx="29">
                  <c:v>4.1500000000000004</c:v>
                </c:pt>
                <c:pt idx="30">
                  <c:v>4.9249999999999998</c:v>
                </c:pt>
                <c:pt idx="31">
                  <c:v>4.57</c:v>
                </c:pt>
                <c:pt idx="32">
                  <c:v>9.3899999999999988</c:v>
                </c:pt>
                <c:pt idx="33">
                  <c:v>8.4124999999999996</c:v>
                </c:pt>
                <c:pt idx="34">
                  <c:v>6.7575000000000003</c:v>
                </c:pt>
                <c:pt idx="35">
                  <c:v>2.9974999999999996</c:v>
                </c:pt>
                <c:pt idx="36">
                  <c:v>0.80600000000000005</c:v>
                </c:pt>
                <c:pt idx="37">
                  <c:v>0.10249999999999999</c:v>
                </c:pt>
                <c:pt idx="38">
                  <c:v>0.13999999999999999</c:v>
                </c:pt>
                <c:pt idx="39">
                  <c:v>7.2499999999999995E-2</c:v>
                </c:pt>
                <c:pt idx="40">
                  <c:v>0.44750000000000001</c:v>
                </c:pt>
                <c:pt idx="41">
                  <c:v>0.89400000000000013</c:v>
                </c:pt>
                <c:pt idx="42">
                  <c:v>2.41</c:v>
                </c:pt>
                <c:pt idx="43">
                  <c:v>3.9849999999999999</c:v>
                </c:pt>
                <c:pt idx="44">
                  <c:v>10.25</c:v>
                </c:pt>
                <c:pt idx="45">
                  <c:v>9.7474999999999987</c:v>
                </c:pt>
                <c:pt idx="46">
                  <c:v>4.9424999999999999</c:v>
                </c:pt>
                <c:pt idx="47">
                  <c:v>1.0799999999999998</c:v>
                </c:pt>
                <c:pt idx="48">
                  <c:v>0.36249999999999993</c:v>
                </c:pt>
                <c:pt idx="49">
                  <c:v>0.39799999999999996</c:v>
                </c:pt>
                <c:pt idx="50">
                  <c:v>0</c:v>
                </c:pt>
                <c:pt idx="51">
                  <c:v>9.7500000000000003E-2</c:v>
                </c:pt>
                <c:pt idx="52">
                  <c:v>0.26399999999999996</c:v>
                </c:pt>
                <c:pt idx="53">
                  <c:v>0.51</c:v>
                </c:pt>
                <c:pt idx="54">
                  <c:v>0.71</c:v>
                </c:pt>
                <c:pt idx="55">
                  <c:v>1.6419999999999999</c:v>
                </c:pt>
                <c:pt idx="56">
                  <c:v>3.4324999999999997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5-0D40-8035-F4DD99A6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Adeno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0-8347-8B3C-5F0D5B01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Sheet1!$H$17:$H$73</c:f>
              <c:numCache>
                <c:formatCode>General</c:formatCode>
                <c:ptCount val="57"/>
                <c:pt idx="0">
                  <c:v>3.5799999999999996</c:v>
                </c:pt>
                <c:pt idx="1">
                  <c:v>1.83</c:v>
                </c:pt>
                <c:pt idx="2">
                  <c:v>2.2599999999999998</c:v>
                </c:pt>
                <c:pt idx="3">
                  <c:v>2.968</c:v>
                </c:pt>
                <c:pt idx="4">
                  <c:v>3.5124999999999997</c:v>
                </c:pt>
                <c:pt idx="5">
                  <c:v>3</c:v>
                </c:pt>
                <c:pt idx="6">
                  <c:v>2.6280000000000001</c:v>
                </c:pt>
                <c:pt idx="7">
                  <c:v>2.5449999999999999</c:v>
                </c:pt>
                <c:pt idx="8">
                  <c:v>2.0575000000000001</c:v>
                </c:pt>
                <c:pt idx="9">
                  <c:v>2.278</c:v>
                </c:pt>
                <c:pt idx="10">
                  <c:v>1.9075</c:v>
                </c:pt>
                <c:pt idx="11">
                  <c:v>1.8374999999999999</c:v>
                </c:pt>
                <c:pt idx="12">
                  <c:v>1.7475000000000001</c:v>
                </c:pt>
                <c:pt idx="13">
                  <c:v>1.3225</c:v>
                </c:pt>
                <c:pt idx="14">
                  <c:v>1.1839999999999999</c:v>
                </c:pt>
                <c:pt idx="15">
                  <c:v>1.0675000000000001</c:v>
                </c:pt>
                <c:pt idx="16">
                  <c:v>0.80500000000000005</c:v>
                </c:pt>
                <c:pt idx="17">
                  <c:v>1.0720000000000001</c:v>
                </c:pt>
                <c:pt idx="18">
                  <c:v>0.97000000000000008</c:v>
                </c:pt>
                <c:pt idx="19">
                  <c:v>1.2025000000000001</c:v>
                </c:pt>
                <c:pt idx="20">
                  <c:v>2.0524999999999998</c:v>
                </c:pt>
                <c:pt idx="21">
                  <c:v>1.6819999999999999</c:v>
                </c:pt>
                <c:pt idx="22">
                  <c:v>2.12</c:v>
                </c:pt>
                <c:pt idx="23">
                  <c:v>2.4300000000000002</c:v>
                </c:pt>
                <c:pt idx="24">
                  <c:v>2.7119999999999997</c:v>
                </c:pt>
                <c:pt idx="25">
                  <c:v>2.4625000000000004</c:v>
                </c:pt>
                <c:pt idx="26">
                  <c:v>2.2299999999999995</c:v>
                </c:pt>
                <c:pt idx="27">
                  <c:v>3.5100000000000002</c:v>
                </c:pt>
                <c:pt idx="28">
                  <c:v>3.1224999999999996</c:v>
                </c:pt>
                <c:pt idx="29">
                  <c:v>3.2659999999999996</c:v>
                </c:pt>
                <c:pt idx="30">
                  <c:v>3.17</c:v>
                </c:pt>
                <c:pt idx="31">
                  <c:v>2.6619999999999999</c:v>
                </c:pt>
                <c:pt idx="32">
                  <c:v>3.4919999999999995</c:v>
                </c:pt>
                <c:pt idx="33">
                  <c:v>2.59</c:v>
                </c:pt>
                <c:pt idx="34">
                  <c:v>3.75</c:v>
                </c:pt>
                <c:pt idx="35">
                  <c:v>3.4775</c:v>
                </c:pt>
                <c:pt idx="36">
                  <c:v>2.996</c:v>
                </c:pt>
                <c:pt idx="37">
                  <c:v>2.6100000000000003</c:v>
                </c:pt>
                <c:pt idx="38">
                  <c:v>2.298</c:v>
                </c:pt>
                <c:pt idx="39">
                  <c:v>3.8</c:v>
                </c:pt>
                <c:pt idx="40">
                  <c:v>3.95</c:v>
                </c:pt>
                <c:pt idx="41">
                  <c:v>2.6574999999999998</c:v>
                </c:pt>
                <c:pt idx="42">
                  <c:v>3.4849999999999999</c:v>
                </c:pt>
                <c:pt idx="43">
                  <c:v>4.49</c:v>
                </c:pt>
                <c:pt idx="44">
                  <c:v>5.43</c:v>
                </c:pt>
                <c:pt idx="45">
                  <c:v>4.8875000000000002</c:v>
                </c:pt>
                <c:pt idx="46">
                  <c:v>5.9850000000000003</c:v>
                </c:pt>
                <c:pt idx="47">
                  <c:v>5.7520000000000007</c:v>
                </c:pt>
                <c:pt idx="48">
                  <c:v>4.0650000000000004</c:v>
                </c:pt>
                <c:pt idx="49">
                  <c:v>3.8260000000000005</c:v>
                </c:pt>
                <c:pt idx="50">
                  <c:v>2.3525</c:v>
                </c:pt>
                <c:pt idx="51">
                  <c:v>3.0024999999999995</c:v>
                </c:pt>
                <c:pt idx="52">
                  <c:v>3.0374999999999996</c:v>
                </c:pt>
                <c:pt idx="53">
                  <c:v>2.5149999999999997</c:v>
                </c:pt>
                <c:pt idx="54">
                  <c:v>2.6275000000000004</c:v>
                </c:pt>
                <c:pt idx="55">
                  <c:v>2.4849999999999999</c:v>
                </c:pt>
                <c:pt idx="56">
                  <c:v>2.3725000000000001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0-8347-8B3C-5F0D5B01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HCOV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A-E147-8C7C-3185AB12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Sheet1!$I$17:$I$73</c:f>
              <c:numCache>
                <c:formatCode>General</c:formatCode>
                <c:ptCount val="57"/>
                <c:pt idx="0">
                  <c:v>0.42299999999999999</c:v>
                </c:pt>
                <c:pt idx="1">
                  <c:v>0.49249999999999999</c:v>
                </c:pt>
                <c:pt idx="2">
                  <c:v>0.29499999999999998</c:v>
                </c:pt>
                <c:pt idx="3">
                  <c:v>0.46800000000000003</c:v>
                </c:pt>
                <c:pt idx="4">
                  <c:v>0.88749999999999996</c:v>
                </c:pt>
                <c:pt idx="5">
                  <c:v>5.0324999999999998</c:v>
                </c:pt>
                <c:pt idx="6">
                  <c:v>9.136000000000001</c:v>
                </c:pt>
                <c:pt idx="7">
                  <c:v>6.8475000000000001</c:v>
                </c:pt>
                <c:pt idx="8">
                  <c:v>6.3175000000000008</c:v>
                </c:pt>
                <c:pt idx="9">
                  <c:v>2.3779999999999997</c:v>
                </c:pt>
                <c:pt idx="10">
                  <c:v>0.60499999999999998</c:v>
                </c:pt>
                <c:pt idx="11">
                  <c:v>0.13599999999999998</c:v>
                </c:pt>
                <c:pt idx="12">
                  <c:v>9.5000000000000001E-2</c:v>
                </c:pt>
                <c:pt idx="13">
                  <c:v>7.2499999999999995E-2</c:v>
                </c:pt>
                <c:pt idx="14">
                  <c:v>9.8000000000000004E-2</c:v>
                </c:pt>
                <c:pt idx="15">
                  <c:v>8.5000000000000006E-2</c:v>
                </c:pt>
                <c:pt idx="16">
                  <c:v>7.5000000000000011E-2</c:v>
                </c:pt>
                <c:pt idx="17">
                  <c:v>4.5999999999999999E-2</c:v>
                </c:pt>
                <c:pt idx="18">
                  <c:v>0.125</c:v>
                </c:pt>
                <c:pt idx="19">
                  <c:v>8.7499999999999994E-2</c:v>
                </c:pt>
                <c:pt idx="20">
                  <c:v>0.41750000000000004</c:v>
                </c:pt>
                <c:pt idx="21">
                  <c:v>2.7320000000000002</c:v>
                </c:pt>
                <c:pt idx="22">
                  <c:v>4.0549999999999997</c:v>
                </c:pt>
                <c:pt idx="23">
                  <c:v>5.7240000000000002</c:v>
                </c:pt>
                <c:pt idx="24">
                  <c:v>3.8266666666666667</c:v>
                </c:pt>
                <c:pt idx="25">
                  <c:v>3.78</c:v>
                </c:pt>
                <c:pt idx="26">
                  <c:v>1.8475000000000001</c:v>
                </c:pt>
                <c:pt idx="27">
                  <c:v>1.8299999999999996</c:v>
                </c:pt>
                <c:pt idx="28">
                  <c:v>2.415</c:v>
                </c:pt>
                <c:pt idx="29">
                  <c:v>4.1800000000000006</c:v>
                </c:pt>
                <c:pt idx="30">
                  <c:v>3.645</c:v>
                </c:pt>
                <c:pt idx="31">
                  <c:v>2.57</c:v>
                </c:pt>
                <c:pt idx="32">
                  <c:v>5.6150000000000002</c:v>
                </c:pt>
                <c:pt idx="33">
                  <c:v>7.3840000000000003</c:v>
                </c:pt>
                <c:pt idx="34">
                  <c:v>7.4525000000000006</c:v>
                </c:pt>
                <c:pt idx="35">
                  <c:v>3.6920000000000002</c:v>
                </c:pt>
                <c:pt idx="36">
                  <c:v>0.94333333333333336</c:v>
                </c:pt>
                <c:pt idx="37">
                  <c:v>0.54</c:v>
                </c:pt>
                <c:pt idx="38">
                  <c:v>0.38499999999999995</c:v>
                </c:pt>
                <c:pt idx="39">
                  <c:v>0.48749999999999999</c:v>
                </c:pt>
                <c:pt idx="40">
                  <c:v>0.90199999999999991</c:v>
                </c:pt>
                <c:pt idx="41">
                  <c:v>2.58</c:v>
                </c:pt>
                <c:pt idx="42">
                  <c:v>4.7774999999999999</c:v>
                </c:pt>
                <c:pt idx="43">
                  <c:v>9.9699999999999989</c:v>
                </c:pt>
                <c:pt idx="44">
                  <c:v>9.4319999999999986</c:v>
                </c:pt>
                <c:pt idx="45">
                  <c:v>4.3849999999999998</c:v>
                </c:pt>
                <c:pt idx="46">
                  <c:v>2.1774999999999998</c:v>
                </c:pt>
                <c:pt idx="47">
                  <c:v>0.79</c:v>
                </c:pt>
                <c:pt idx="48">
                  <c:v>0.46199999999999991</c:v>
                </c:pt>
                <c:pt idx="49">
                  <c:v>0.59</c:v>
                </c:pt>
                <c:pt idx="50">
                  <c:v>0.32750000000000001</c:v>
                </c:pt>
                <c:pt idx="51">
                  <c:v>0.33250000000000002</c:v>
                </c:pt>
                <c:pt idx="52">
                  <c:v>0.46600000000000003</c:v>
                </c:pt>
                <c:pt idx="53">
                  <c:v>1.9525000000000001</c:v>
                </c:pt>
                <c:pt idx="54">
                  <c:v>3.8200000000000003</c:v>
                </c:pt>
                <c:pt idx="55">
                  <c:v>7.586666666666666</c:v>
                </c:pt>
                <c:pt idx="56">
                  <c:v>8.2575000000000003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A-E147-8C7C-3185AB12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</a:t>
            </a:r>
            <a:r>
              <a:rPr lang="en-US" baseline="0"/>
              <a:t>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Sheet1!$B$17:$B$73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6</c:v>
                </c:pt>
                <c:pt idx="33">
                  <c:v>12</c:v>
                </c:pt>
                <c:pt idx="34">
                  <c:v>8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5</c:v>
                </c:pt>
                <c:pt idx="40">
                  <c:v>11</c:v>
                </c:pt>
                <c:pt idx="41">
                  <c:v>18</c:v>
                </c:pt>
                <c:pt idx="42">
                  <c:v>9</c:v>
                </c:pt>
                <c:pt idx="43">
                  <c:v>14</c:v>
                </c:pt>
                <c:pt idx="44">
                  <c:v>5</c:v>
                </c:pt>
                <c:pt idx="45">
                  <c:v>9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7</c:v>
                </c:pt>
                <c:pt idx="55">
                  <c:v>9</c:v>
                </c:pt>
                <c:pt idx="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3-F042-BBD8-EC364628B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Sheet1!$C$17:$C$73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525</c:v>
                </c:pt>
                <c:pt idx="10">
                  <c:v>784</c:v>
                </c:pt>
                <c:pt idx="11">
                  <c:v>646</c:v>
                </c:pt>
                <c:pt idx="12">
                  <c:v>1548</c:v>
                </c:pt>
                <c:pt idx="13">
                  <c:v>1208</c:v>
                </c:pt>
                <c:pt idx="14">
                  <c:v>1674</c:v>
                </c:pt>
                <c:pt idx="15">
                  <c:v>5703</c:v>
                </c:pt>
                <c:pt idx="16">
                  <c:v>15545</c:v>
                </c:pt>
                <c:pt idx="17">
                  <c:v>10112</c:v>
                </c:pt>
                <c:pt idx="18">
                  <c:v>7416</c:v>
                </c:pt>
                <c:pt idx="19">
                  <c:v>4966</c:v>
                </c:pt>
                <c:pt idx="20">
                  <c:v>5503</c:v>
                </c:pt>
                <c:pt idx="21">
                  <c:v>10152</c:v>
                </c:pt>
                <c:pt idx="22">
                  <c:v>5667</c:v>
                </c:pt>
                <c:pt idx="23">
                  <c:v>1654</c:v>
                </c:pt>
                <c:pt idx="24">
                  <c:v>3093</c:v>
                </c:pt>
                <c:pt idx="25">
                  <c:v>9702</c:v>
                </c:pt>
                <c:pt idx="26">
                  <c:v>13058</c:v>
                </c:pt>
                <c:pt idx="27">
                  <c:v>15899</c:v>
                </c:pt>
                <c:pt idx="28">
                  <c:v>19892</c:v>
                </c:pt>
                <c:pt idx="29">
                  <c:v>22346</c:v>
                </c:pt>
                <c:pt idx="30">
                  <c:v>73785</c:v>
                </c:pt>
                <c:pt idx="31">
                  <c:v>7200</c:v>
                </c:pt>
                <c:pt idx="32">
                  <c:v>1952</c:v>
                </c:pt>
                <c:pt idx="33">
                  <c:v>2537</c:v>
                </c:pt>
                <c:pt idx="34">
                  <c:v>6504</c:v>
                </c:pt>
                <c:pt idx="35">
                  <c:v>6523</c:v>
                </c:pt>
                <c:pt idx="36">
                  <c:v>6351</c:v>
                </c:pt>
                <c:pt idx="37">
                  <c:v>4578</c:v>
                </c:pt>
                <c:pt idx="38">
                  <c:v>2066</c:v>
                </c:pt>
                <c:pt idx="39">
                  <c:v>2201</c:v>
                </c:pt>
                <c:pt idx="40">
                  <c:v>3856</c:v>
                </c:pt>
                <c:pt idx="41">
                  <c:v>2723</c:v>
                </c:pt>
                <c:pt idx="42">
                  <c:v>1462</c:v>
                </c:pt>
                <c:pt idx="43">
                  <c:v>1618</c:v>
                </c:pt>
                <c:pt idx="44">
                  <c:v>1135</c:v>
                </c:pt>
                <c:pt idx="45">
                  <c:v>734</c:v>
                </c:pt>
                <c:pt idx="46">
                  <c:v>346</c:v>
                </c:pt>
                <c:pt idx="47">
                  <c:v>166</c:v>
                </c:pt>
                <c:pt idx="48">
                  <c:v>286</c:v>
                </c:pt>
                <c:pt idx="49">
                  <c:v>1119</c:v>
                </c:pt>
                <c:pt idx="50">
                  <c:v>1282</c:v>
                </c:pt>
                <c:pt idx="51">
                  <c:v>1877</c:v>
                </c:pt>
                <c:pt idx="52">
                  <c:v>2475</c:v>
                </c:pt>
                <c:pt idx="53">
                  <c:v>2281</c:v>
                </c:pt>
                <c:pt idx="54">
                  <c:v>1692</c:v>
                </c:pt>
                <c:pt idx="55">
                  <c:v>1271</c:v>
                </c:pt>
                <c:pt idx="56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3-F042-BBD8-EC364628B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Sheet2!$A$3:$A$58</c:f>
              <c:strCache>
                <c:ptCount val="56"/>
                <c:pt idx="0">
                  <c:v>August 2019</c:v>
                </c:pt>
                <c:pt idx="1">
                  <c:v>September 2019</c:v>
                </c:pt>
                <c:pt idx="2">
                  <c:v>October 2019</c:v>
                </c:pt>
                <c:pt idx="3">
                  <c:v>November 2019</c:v>
                </c:pt>
                <c:pt idx="4">
                  <c:v>December 2019</c:v>
                </c:pt>
                <c:pt idx="5">
                  <c:v>January 2020</c:v>
                </c:pt>
                <c:pt idx="6">
                  <c:v>February 2020 </c:v>
                </c:pt>
                <c:pt idx="7">
                  <c:v>March 2020</c:v>
                </c:pt>
                <c:pt idx="8">
                  <c:v>April 2020</c:v>
                </c:pt>
                <c:pt idx="9">
                  <c:v>May 2020</c:v>
                </c:pt>
                <c:pt idx="10">
                  <c:v>June 2020</c:v>
                </c:pt>
                <c:pt idx="11">
                  <c:v>July 2020</c:v>
                </c:pt>
                <c:pt idx="12">
                  <c:v>August 2020</c:v>
                </c:pt>
                <c:pt idx="13">
                  <c:v>September 2020 </c:v>
                </c:pt>
                <c:pt idx="14">
                  <c:v>October 2020</c:v>
                </c:pt>
                <c:pt idx="15">
                  <c:v>November 2020</c:v>
                </c:pt>
                <c:pt idx="16">
                  <c:v>December 2020</c:v>
                </c:pt>
                <c:pt idx="17">
                  <c:v>January 2021</c:v>
                </c:pt>
                <c:pt idx="18">
                  <c:v>February 2021</c:v>
                </c:pt>
                <c:pt idx="19">
                  <c:v>March 2021</c:v>
                </c:pt>
                <c:pt idx="20">
                  <c:v>April 2021</c:v>
                </c:pt>
                <c:pt idx="21">
                  <c:v>May 2021</c:v>
                </c:pt>
                <c:pt idx="22">
                  <c:v>June 2021</c:v>
                </c:pt>
                <c:pt idx="23">
                  <c:v>July 2021</c:v>
                </c:pt>
                <c:pt idx="24">
                  <c:v>August 2021</c:v>
                </c:pt>
                <c:pt idx="25">
                  <c:v>September 2021</c:v>
                </c:pt>
                <c:pt idx="26">
                  <c:v>October 2021</c:v>
                </c:pt>
                <c:pt idx="27">
                  <c:v>November 2021</c:v>
                </c:pt>
                <c:pt idx="28">
                  <c:v>December 2021</c:v>
                </c:pt>
                <c:pt idx="29">
                  <c:v>January 2022</c:v>
                </c:pt>
                <c:pt idx="30">
                  <c:v>February 2022</c:v>
                </c:pt>
                <c:pt idx="31">
                  <c:v>March 2022</c:v>
                </c:pt>
                <c:pt idx="32">
                  <c:v>April 2022</c:v>
                </c:pt>
                <c:pt idx="33">
                  <c:v>May 2022</c:v>
                </c:pt>
                <c:pt idx="34">
                  <c:v>June 2022</c:v>
                </c:pt>
                <c:pt idx="35">
                  <c:v>July 2022</c:v>
                </c:pt>
                <c:pt idx="36">
                  <c:v>August 2022</c:v>
                </c:pt>
                <c:pt idx="37">
                  <c:v>September 2022</c:v>
                </c:pt>
                <c:pt idx="38">
                  <c:v>October 2022</c:v>
                </c:pt>
                <c:pt idx="39">
                  <c:v>November 2022</c:v>
                </c:pt>
                <c:pt idx="40">
                  <c:v>December 2022</c:v>
                </c:pt>
                <c:pt idx="41">
                  <c:v>January 2023</c:v>
                </c:pt>
                <c:pt idx="42">
                  <c:v>February 2023</c:v>
                </c:pt>
                <c:pt idx="43">
                  <c:v>March 2023</c:v>
                </c:pt>
                <c:pt idx="44">
                  <c:v>April 2023</c:v>
                </c:pt>
                <c:pt idx="45">
                  <c:v>May 2023</c:v>
                </c:pt>
                <c:pt idx="46">
                  <c:v>June 2023</c:v>
                </c:pt>
                <c:pt idx="47">
                  <c:v>July 2023</c:v>
                </c:pt>
                <c:pt idx="48">
                  <c:v>August 2023</c:v>
                </c:pt>
                <c:pt idx="49">
                  <c:v>September 2023</c:v>
                </c:pt>
                <c:pt idx="50">
                  <c:v>October 2023</c:v>
                </c:pt>
                <c:pt idx="51">
                  <c:v>November 2023</c:v>
                </c:pt>
                <c:pt idx="52">
                  <c:v>December 2023</c:v>
                </c:pt>
                <c:pt idx="53">
                  <c:v>January 2024</c:v>
                </c:pt>
                <c:pt idx="54">
                  <c:v>February 2024</c:v>
                </c:pt>
                <c:pt idx="55">
                  <c:v>March 2024</c:v>
                </c:pt>
              </c:strCache>
            </c:strRef>
          </c:cat>
          <c:val>
            <c:numRef>
              <c:f>Sheet2!$C$3:$C$58</c:f>
              <c:numCache>
                <c:formatCode>0.00</c:formatCode>
                <c:ptCount val="56"/>
                <c:pt idx="0">
                  <c:v>2.6666666666666665</c:v>
                </c:pt>
                <c:pt idx="1">
                  <c:v>3.3333333333333335</c:v>
                </c:pt>
                <c:pt idx="2">
                  <c:v>3.6666666666666665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6</c:v>
                </c:pt>
                <c:pt idx="7">
                  <c:v>4.333333333333333</c:v>
                </c:pt>
                <c:pt idx="8">
                  <c:v>2.3333333333333335</c:v>
                </c:pt>
                <c:pt idx="9">
                  <c:v>1.6666666666666667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</c:v>
                </c:pt>
                <c:pt idx="13">
                  <c:v>1</c:v>
                </c:pt>
                <c:pt idx="14">
                  <c:v>1.3333333333333333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3</c:v>
                </c:pt>
                <c:pt idx="22">
                  <c:v>3.6666666666666665</c:v>
                </c:pt>
                <c:pt idx="23">
                  <c:v>4</c:v>
                </c:pt>
                <c:pt idx="24">
                  <c:v>3</c:v>
                </c:pt>
                <c:pt idx="25">
                  <c:v>3.6666666666666665</c:v>
                </c:pt>
                <c:pt idx="26">
                  <c:v>4.666666666666667</c:v>
                </c:pt>
                <c:pt idx="27">
                  <c:v>4</c:v>
                </c:pt>
                <c:pt idx="28">
                  <c:v>2.3333333333333335</c:v>
                </c:pt>
                <c:pt idx="29">
                  <c:v>0.66666666666666663</c:v>
                </c:pt>
                <c:pt idx="30">
                  <c:v>2.3333333333333335</c:v>
                </c:pt>
                <c:pt idx="31">
                  <c:v>6</c:v>
                </c:pt>
                <c:pt idx="32">
                  <c:v>8.6666666666666661</c:v>
                </c:pt>
                <c:pt idx="33">
                  <c:v>8.3333333333333339</c:v>
                </c:pt>
                <c:pt idx="34">
                  <c:v>5.333333333333333</c:v>
                </c:pt>
                <c:pt idx="35">
                  <c:v>3.6666666666666665</c:v>
                </c:pt>
                <c:pt idx="36">
                  <c:v>3.6666666666666665</c:v>
                </c:pt>
                <c:pt idx="37">
                  <c:v>4.333333333333333</c:v>
                </c:pt>
                <c:pt idx="38">
                  <c:v>7</c:v>
                </c:pt>
                <c:pt idx="39">
                  <c:v>11.333333333333334</c:v>
                </c:pt>
                <c:pt idx="40">
                  <c:v>12.666666666666666</c:v>
                </c:pt>
                <c:pt idx="41">
                  <c:v>13.666666666666666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6.666666666666667</c:v>
                </c:pt>
                <c:pt idx="45">
                  <c:v>6.333333333333333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6</c:v>
                </c:pt>
                <c:pt idx="52">
                  <c:v>6.666666666666667</c:v>
                </c:pt>
                <c:pt idx="53">
                  <c:v>8.6666666666666661</c:v>
                </c:pt>
                <c:pt idx="54">
                  <c:v>6.666666666666667</c:v>
                </c:pt>
                <c:pt idx="5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5-E44D-BF5F-554733C104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Sheet2!$G$3:$G$58</c:f>
              <c:numCache>
                <c:formatCode>0.00</c:formatCode>
                <c:ptCount val="56"/>
                <c:pt idx="0">
                  <c:v>0.29583333333333334</c:v>
                </c:pt>
                <c:pt idx="1">
                  <c:v>0.30516666666666664</c:v>
                </c:pt>
                <c:pt idx="2">
                  <c:v>1.1801666666666666</c:v>
                </c:pt>
                <c:pt idx="3">
                  <c:v>4.4863333333333335</c:v>
                </c:pt>
                <c:pt idx="4">
                  <c:v>10.519500000000001</c:v>
                </c:pt>
                <c:pt idx="5">
                  <c:v>15.513666666666666</c:v>
                </c:pt>
                <c:pt idx="6">
                  <c:v>15.302333333333332</c:v>
                </c:pt>
                <c:pt idx="7">
                  <c:v>10.0465</c:v>
                </c:pt>
                <c:pt idx="8">
                  <c:v>4.2623333333333333</c:v>
                </c:pt>
                <c:pt idx="9">
                  <c:v>1.2525000000000002</c:v>
                </c:pt>
                <c:pt idx="10">
                  <c:v>0.375</c:v>
                </c:pt>
                <c:pt idx="11">
                  <c:v>0.23916666666666664</c:v>
                </c:pt>
                <c:pt idx="12">
                  <c:v>7.2999999999999995E-2</c:v>
                </c:pt>
                <c:pt idx="13">
                  <c:v>3.5499999999999997E-2</c:v>
                </c:pt>
                <c:pt idx="14">
                  <c:v>3.5000000000000003E-2</c:v>
                </c:pt>
                <c:pt idx="15">
                  <c:v>3.1166666666666665E-2</c:v>
                </c:pt>
                <c:pt idx="16">
                  <c:v>3.2000000000000008E-2</c:v>
                </c:pt>
                <c:pt idx="17">
                  <c:v>0.02</c:v>
                </c:pt>
                <c:pt idx="18">
                  <c:v>2.416666666666667E-2</c:v>
                </c:pt>
                <c:pt idx="19">
                  <c:v>6.7500000000000004E-2</c:v>
                </c:pt>
                <c:pt idx="20">
                  <c:v>0.1658333333333333</c:v>
                </c:pt>
                <c:pt idx="21">
                  <c:v>0.55549999999999999</c:v>
                </c:pt>
                <c:pt idx="22">
                  <c:v>2.101666666666667</c:v>
                </c:pt>
                <c:pt idx="23">
                  <c:v>4.8066666666666666</c:v>
                </c:pt>
                <c:pt idx="24">
                  <c:v>7.4233333333333347</c:v>
                </c:pt>
                <c:pt idx="25">
                  <c:v>9.213000000000001</c:v>
                </c:pt>
                <c:pt idx="26">
                  <c:v>9.4370000000000012</c:v>
                </c:pt>
                <c:pt idx="27">
                  <c:v>9.0476666666666663</c:v>
                </c:pt>
                <c:pt idx="28">
                  <c:v>6.6260000000000003</c:v>
                </c:pt>
                <c:pt idx="29">
                  <c:v>4.0644999999999998</c:v>
                </c:pt>
                <c:pt idx="30">
                  <c:v>1.9304999999999997</c:v>
                </c:pt>
                <c:pt idx="31">
                  <c:v>1.2338333333333333</c:v>
                </c:pt>
                <c:pt idx="32">
                  <c:v>1.0438333333333334</c:v>
                </c:pt>
                <c:pt idx="33">
                  <c:v>0.83516666666666672</c:v>
                </c:pt>
                <c:pt idx="34">
                  <c:v>0.89516666666666678</c:v>
                </c:pt>
                <c:pt idx="35">
                  <c:v>0.96</c:v>
                </c:pt>
                <c:pt idx="36">
                  <c:v>1.2773333333333334</c:v>
                </c:pt>
                <c:pt idx="37">
                  <c:v>3.8315000000000001</c:v>
                </c:pt>
                <c:pt idx="38">
                  <c:v>9.5534999999999997</c:v>
                </c:pt>
                <c:pt idx="39">
                  <c:v>13.156833333333331</c:v>
                </c:pt>
                <c:pt idx="40">
                  <c:v>13.080999999999998</c:v>
                </c:pt>
                <c:pt idx="41">
                  <c:v>8.1949999999999985</c:v>
                </c:pt>
                <c:pt idx="42">
                  <c:v>4.3950000000000005</c:v>
                </c:pt>
                <c:pt idx="43">
                  <c:v>1.8524999999999998</c:v>
                </c:pt>
                <c:pt idx="44">
                  <c:v>0.76999999999999991</c:v>
                </c:pt>
                <c:pt idx="45">
                  <c:v>0.42199999999999993</c:v>
                </c:pt>
                <c:pt idx="46">
                  <c:v>0.25783333333333336</c:v>
                </c:pt>
                <c:pt idx="47">
                  <c:v>0.28566666666666668</c:v>
                </c:pt>
                <c:pt idx="48">
                  <c:v>0.31866666666666671</c:v>
                </c:pt>
                <c:pt idx="49">
                  <c:v>0.58116666666666672</c:v>
                </c:pt>
                <c:pt idx="50">
                  <c:v>1.7338333333333331</c:v>
                </c:pt>
                <c:pt idx="51">
                  <c:v>4.9204999999999997</c:v>
                </c:pt>
                <c:pt idx="52">
                  <c:v>8.5038333333333327</c:v>
                </c:pt>
                <c:pt idx="53">
                  <c:v>10.495166666666668</c:v>
                </c:pt>
                <c:pt idx="54">
                  <c:v>9.3993333333333329</c:v>
                </c:pt>
                <c:pt idx="55">
                  <c:v>8.1827499999999986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5-E44D-BF5F-554733C10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206112"/>
        <c:axId val="1400207824"/>
      </c:lineChart>
      <c:catAx>
        <c:axId val="1400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7824"/>
        <c:crosses val="autoZero"/>
        <c:auto val="1"/>
        <c:lblAlgn val="ctr"/>
        <c:lblOffset val="100"/>
        <c:noMultiLvlLbl val="0"/>
      </c:catAx>
      <c:valAx>
        <c:axId val="1400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Sheet2!$A$3:$A$58</c:f>
              <c:strCache>
                <c:ptCount val="56"/>
                <c:pt idx="0">
                  <c:v>August 2019</c:v>
                </c:pt>
                <c:pt idx="1">
                  <c:v>September 2019</c:v>
                </c:pt>
                <c:pt idx="2">
                  <c:v>October 2019</c:v>
                </c:pt>
                <c:pt idx="3">
                  <c:v>November 2019</c:v>
                </c:pt>
                <c:pt idx="4">
                  <c:v>December 2019</c:v>
                </c:pt>
                <c:pt idx="5">
                  <c:v>January 2020</c:v>
                </c:pt>
                <c:pt idx="6">
                  <c:v>February 2020 </c:v>
                </c:pt>
                <c:pt idx="7">
                  <c:v>March 2020</c:v>
                </c:pt>
                <c:pt idx="8">
                  <c:v>April 2020</c:v>
                </c:pt>
                <c:pt idx="9">
                  <c:v>May 2020</c:v>
                </c:pt>
                <c:pt idx="10">
                  <c:v>June 2020</c:v>
                </c:pt>
                <c:pt idx="11">
                  <c:v>July 2020</c:v>
                </c:pt>
                <c:pt idx="12">
                  <c:v>August 2020</c:v>
                </c:pt>
                <c:pt idx="13">
                  <c:v>September 2020 </c:v>
                </c:pt>
                <c:pt idx="14">
                  <c:v>October 2020</c:v>
                </c:pt>
                <c:pt idx="15">
                  <c:v>November 2020</c:v>
                </c:pt>
                <c:pt idx="16">
                  <c:v>December 2020</c:v>
                </c:pt>
                <c:pt idx="17">
                  <c:v>January 2021</c:v>
                </c:pt>
                <c:pt idx="18">
                  <c:v>February 2021</c:v>
                </c:pt>
                <c:pt idx="19">
                  <c:v>March 2021</c:v>
                </c:pt>
                <c:pt idx="20">
                  <c:v>April 2021</c:v>
                </c:pt>
                <c:pt idx="21">
                  <c:v>May 2021</c:v>
                </c:pt>
                <c:pt idx="22">
                  <c:v>June 2021</c:v>
                </c:pt>
                <c:pt idx="23">
                  <c:v>July 2021</c:v>
                </c:pt>
                <c:pt idx="24">
                  <c:v>August 2021</c:v>
                </c:pt>
                <c:pt idx="25">
                  <c:v>September 2021</c:v>
                </c:pt>
                <c:pt idx="26">
                  <c:v>October 2021</c:v>
                </c:pt>
                <c:pt idx="27">
                  <c:v>November 2021</c:v>
                </c:pt>
                <c:pt idx="28">
                  <c:v>December 2021</c:v>
                </c:pt>
                <c:pt idx="29">
                  <c:v>January 2022</c:v>
                </c:pt>
                <c:pt idx="30">
                  <c:v>February 2022</c:v>
                </c:pt>
                <c:pt idx="31">
                  <c:v>March 2022</c:v>
                </c:pt>
                <c:pt idx="32">
                  <c:v>April 2022</c:v>
                </c:pt>
                <c:pt idx="33">
                  <c:v>May 2022</c:v>
                </c:pt>
                <c:pt idx="34">
                  <c:v>June 2022</c:v>
                </c:pt>
                <c:pt idx="35">
                  <c:v>July 2022</c:v>
                </c:pt>
                <c:pt idx="36">
                  <c:v>August 2022</c:v>
                </c:pt>
                <c:pt idx="37">
                  <c:v>September 2022</c:v>
                </c:pt>
                <c:pt idx="38">
                  <c:v>October 2022</c:v>
                </c:pt>
                <c:pt idx="39">
                  <c:v>November 2022</c:v>
                </c:pt>
                <c:pt idx="40">
                  <c:v>December 2022</c:v>
                </c:pt>
                <c:pt idx="41">
                  <c:v>January 2023</c:v>
                </c:pt>
                <c:pt idx="42">
                  <c:v>February 2023</c:v>
                </c:pt>
                <c:pt idx="43">
                  <c:v>March 2023</c:v>
                </c:pt>
                <c:pt idx="44">
                  <c:v>April 2023</c:v>
                </c:pt>
                <c:pt idx="45">
                  <c:v>May 2023</c:v>
                </c:pt>
                <c:pt idx="46">
                  <c:v>June 2023</c:v>
                </c:pt>
                <c:pt idx="47">
                  <c:v>July 2023</c:v>
                </c:pt>
                <c:pt idx="48">
                  <c:v>August 2023</c:v>
                </c:pt>
                <c:pt idx="49">
                  <c:v>September 2023</c:v>
                </c:pt>
                <c:pt idx="50">
                  <c:v>October 2023</c:v>
                </c:pt>
                <c:pt idx="51">
                  <c:v>November 2023</c:v>
                </c:pt>
                <c:pt idx="52">
                  <c:v>December 2023</c:v>
                </c:pt>
                <c:pt idx="53">
                  <c:v>January 2024</c:v>
                </c:pt>
                <c:pt idx="54">
                  <c:v>February 2024</c:v>
                </c:pt>
                <c:pt idx="55">
                  <c:v>March 2024</c:v>
                </c:pt>
              </c:strCache>
            </c:strRef>
          </c:cat>
          <c:val>
            <c:numRef>
              <c:f>Sheet2!$C$3:$C$58</c:f>
              <c:numCache>
                <c:formatCode>0.00</c:formatCode>
                <c:ptCount val="56"/>
                <c:pt idx="0">
                  <c:v>2.6666666666666665</c:v>
                </c:pt>
                <c:pt idx="1">
                  <c:v>3.3333333333333335</c:v>
                </c:pt>
                <c:pt idx="2">
                  <c:v>3.6666666666666665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6</c:v>
                </c:pt>
                <c:pt idx="7">
                  <c:v>4.333333333333333</c:v>
                </c:pt>
                <c:pt idx="8">
                  <c:v>2.3333333333333335</c:v>
                </c:pt>
                <c:pt idx="9">
                  <c:v>1.6666666666666667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</c:v>
                </c:pt>
                <c:pt idx="13">
                  <c:v>1</c:v>
                </c:pt>
                <c:pt idx="14">
                  <c:v>1.3333333333333333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3</c:v>
                </c:pt>
                <c:pt idx="22">
                  <c:v>3.6666666666666665</c:v>
                </c:pt>
                <c:pt idx="23">
                  <c:v>4</c:v>
                </c:pt>
                <c:pt idx="24">
                  <c:v>3</c:v>
                </c:pt>
                <c:pt idx="25">
                  <c:v>3.6666666666666665</c:v>
                </c:pt>
                <c:pt idx="26">
                  <c:v>4.666666666666667</c:v>
                </c:pt>
                <c:pt idx="27">
                  <c:v>4</c:v>
                </c:pt>
                <c:pt idx="28">
                  <c:v>2.3333333333333335</c:v>
                </c:pt>
                <c:pt idx="29">
                  <c:v>0.66666666666666663</c:v>
                </c:pt>
                <c:pt idx="30">
                  <c:v>2.3333333333333335</c:v>
                </c:pt>
                <c:pt idx="31">
                  <c:v>6</c:v>
                </c:pt>
                <c:pt idx="32">
                  <c:v>8.6666666666666661</c:v>
                </c:pt>
                <c:pt idx="33">
                  <c:v>8.3333333333333339</c:v>
                </c:pt>
                <c:pt idx="34">
                  <c:v>5.333333333333333</c:v>
                </c:pt>
                <c:pt idx="35">
                  <c:v>3.6666666666666665</c:v>
                </c:pt>
                <c:pt idx="36">
                  <c:v>3.6666666666666665</c:v>
                </c:pt>
                <c:pt idx="37">
                  <c:v>4.333333333333333</c:v>
                </c:pt>
                <c:pt idx="38">
                  <c:v>7</c:v>
                </c:pt>
                <c:pt idx="39">
                  <c:v>11.333333333333334</c:v>
                </c:pt>
                <c:pt idx="40">
                  <c:v>12.666666666666666</c:v>
                </c:pt>
                <c:pt idx="41">
                  <c:v>13.666666666666666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6.666666666666667</c:v>
                </c:pt>
                <c:pt idx="45">
                  <c:v>6.333333333333333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6</c:v>
                </c:pt>
                <c:pt idx="52">
                  <c:v>6.666666666666667</c:v>
                </c:pt>
                <c:pt idx="53">
                  <c:v>8.6666666666666661</c:v>
                </c:pt>
                <c:pt idx="54">
                  <c:v>6.666666666666667</c:v>
                </c:pt>
                <c:pt idx="5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C-614A-B186-00011373B89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Sheet2!$I$3:$I$58</c:f>
              <c:numCache>
                <c:formatCode>0.00</c:formatCode>
                <c:ptCount val="56"/>
                <c:pt idx="0">
                  <c:v>1.0783333333333334</c:v>
                </c:pt>
                <c:pt idx="1">
                  <c:v>1.0584999999999998</c:v>
                </c:pt>
                <c:pt idx="2">
                  <c:v>2.516</c:v>
                </c:pt>
                <c:pt idx="3">
                  <c:v>7.5834999999999999</c:v>
                </c:pt>
                <c:pt idx="4">
                  <c:v>16.520833333333332</c:v>
                </c:pt>
                <c:pt idx="5">
                  <c:v>25.103333333333335</c:v>
                </c:pt>
                <c:pt idx="6">
                  <c:v>26.578333333333333</c:v>
                </c:pt>
                <c:pt idx="7">
                  <c:v>17.460333333333335</c:v>
                </c:pt>
                <c:pt idx="8">
                  <c:v>7.0936666666666666</c:v>
                </c:pt>
                <c:pt idx="9">
                  <c:v>0.45100000000000007</c:v>
                </c:pt>
                <c:pt idx="10">
                  <c:v>0.1781666666666667</c:v>
                </c:pt>
                <c:pt idx="11">
                  <c:v>0.17983333333333337</c:v>
                </c:pt>
                <c:pt idx="12">
                  <c:v>4.3333333333333335E-2</c:v>
                </c:pt>
                <c:pt idx="13">
                  <c:v>3.4166666666666672E-2</c:v>
                </c:pt>
                <c:pt idx="14">
                  <c:v>0.04</c:v>
                </c:pt>
                <c:pt idx="15">
                  <c:v>4.1833333333333333E-2</c:v>
                </c:pt>
                <c:pt idx="16">
                  <c:v>3.4500000000000003E-2</c:v>
                </c:pt>
                <c:pt idx="17">
                  <c:v>2.2833333333333334E-2</c:v>
                </c:pt>
                <c:pt idx="18">
                  <c:v>1.3500000000000003E-2</c:v>
                </c:pt>
                <c:pt idx="19">
                  <c:v>9.1666666666666667E-3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9.1666666666666667E-3</c:v>
                </c:pt>
                <c:pt idx="24">
                  <c:v>2.1833333333333333E-2</c:v>
                </c:pt>
                <c:pt idx="25">
                  <c:v>3.85E-2</c:v>
                </c:pt>
                <c:pt idx="26">
                  <c:v>0.10600000000000002</c:v>
                </c:pt>
                <c:pt idx="27">
                  <c:v>1.3233333333333333</c:v>
                </c:pt>
                <c:pt idx="28">
                  <c:v>3.0866666666666664</c:v>
                </c:pt>
                <c:pt idx="29">
                  <c:v>4.9283333333333337</c:v>
                </c:pt>
                <c:pt idx="30">
                  <c:v>5.6423333333333332</c:v>
                </c:pt>
                <c:pt idx="31">
                  <c:v>6.8865000000000007</c:v>
                </c:pt>
                <c:pt idx="32">
                  <c:v>7.5256666666666661</c:v>
                </c:pt>
                <c:pt idx="33">
                  <c:v>6.5536666666666656</c:v>
                </c:pt>
                <c:pt idx="34">
                  <c:v>3.5936666666666661</c:v>
                </c:pt>
                <c:pt idx="35">
                  <c:v>1.0903333333333334</c:v>
                </c:pt>
                <c:pt idx="36">
                  <c:v>0.15433333333333332</c:v>
                </c:pt>
                <c:pt idx="37">
                  <c:v>0.29849999999999999</c:v>
                </c:pt>
                <c:pt idx="38">
                  <c:v>4.070666666666666</c:v>
                </c:pt>
                <c:pt idx="39">
                  <c:v>12.177166666666665</c:v>
                </c:pt>
                <c:pt idx="40">
                  <c:v>15.75633333333333</c:v>
                </c:pt>
                <c:pt idx="41">
                  <c:v>12.79</c:v>
                </c:pt>
                <c:pt idx="42">
                  <c:v>5.028833333333333</c:v>
                </c:pt>
                <c:pt idx="43">
                  <c:v>1.7363333333333333</c:v>
                </c:pt>
                <c:pt idx="44">
                  <c:v>1.2696666666666667</c:v>
                </c:pt>
                <c:pt idx="45">
                  <c:v>1.1796666666666666</c:v>
                </c:pt>
                <c:pt idx="46">
                  <c:v>0.96799999999999997</c:v>
                </c:pt>
                <c:pt idx="47">
                  <c:v>0.7543333333333333</c:v>
                </c:pt>
                <c:pt idx="48">
                  <c:v>0.61716666666666675</c:v>
                </c:pt>
                <c:pt idx="49">
                  <c:v>0.75216666666666665</c:v>
                </c:pt>
                <c:pt idx="50">
                  <c:v>3.0368333333333335</c:v>
                </c:pt>
                <c:pt idx="51">
                  <c:v>9.4751666666666665</c:v>
                </c:pt>
                <c:pt idx="52">
                  <c:v>16.831</c:v>
                </c:pt>
                <c:pt idx="53">
                  <c:v>20.798999999999996</c:v>
                </c:pt>
                <c:pt idx="54">
                  <c:v>18.302333333333333</c:v>
                </c:pt>
                <c:pt idx="55">
                  <c:v>15.784750000000001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C-614A-B186-00011373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206112"/>
        <c:axId val="1400207824"/>
      </c:lineChart>
      <c:catAx>
        <c:axId val="1400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7824"/>
        <c:crosses val="autoZero"/>
        <c:auto val="1"/>
        <c:lblAlgn val="ctr"/>
        <c:lblOffset val="100"/>
        <c:noMultiLvlLbl val="0"/>
      </c:catAx>
      <c:valAx>
        <c:axId val="1400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Sheet2!$A$3:$A$58</c:f>
              <c:strCache>
                <c:ptCount val="56"/>
                <c:pt idx="0">
                  <c:v>August 2019</c:v>
                </c:pt>
                <c:pt idx="1">
                  <c:v>September 2019</c:v>
                </c:pt>
                <c:pt idx="2">
                  <c:v>October 2019</c:v>
                </c:pt>
                <c:pt idx="3">
                  <c:v>November 2019</c:v>
                </c:pt>
                <c:pt idx="4">
                  <c:v>December 2019</c:v>
                </c:pt>
                <c:pt idx="5">
                  <c:v>January 2020</c:v>
                </c:pt>
                <c:pt idx="6">
                  <c:v>February 2020 </c:v>
                </c:pt>
                <c:pt idx="7">
                  <c:v>March 2020</c:v>
                </c:pt>
                <c:pt idx="8">
                  <c:v>April 2020</c:v>
                </c:pt>
                <c:pt idx="9">
                  <c:v>May 2020</c:v>
                </c:pt>
                <c:pt idx="10">
                  <c:v>June 2020</c:v>
                </c:pt>
                <c:pt idx="11">
                  <c:v>July 2020</c:v>
                </c:pt>
                <c:pt idx="12">
                  <c:v>August 2020</c:v>
                </c:pt>
                <c:pt idx="13">
                  <c:v>September 2020 </c:v>
                </c:pt>
                <c:pt idx="14">
                  <c:v>October 2020</c:v>
                </c:pt>
                <c:pt idx="15">
                  <c:v>November 2020</c:v>
                </c:pt>
                <c:pt idx="16">
                  <c:v>December 2020</c:v>
                </c:pt>
                <c:pt idx="17">
                  <c:v>January 2021</c:v>
                </c:pt>
                <c:pt idx="18">
                  <c:v>February 2021</c:v>
                </c:pt>
                <c:pt idx="19">
                  <c:v>March 2021</c:v>
                </c:pt>
                <c:pt idx="20">
                  <c:v>April 2021</c:v>
                </c:pt>
                <c:pt idx="21">
                  <c:v>May 2021</c:v>
                </c:pt>
                <c:pt idx="22">
                  <c:v>June 2021</c:v>
                </c:pt>
                <c:pt idx="23">
                  <c:v>July 2021</c:v>
                </c:pt>
                <c:pt idx="24">
                  <c:v>August 2021</c:v>
                </c:pt>
                <c:pt idx="25">
                  <c:v>September 2021</c:v>
                </c:pt>
                <c:pt idx="26">
                  <c:v>October 2021</c:v>
                </c:pt>
                <c:pt idx="27">
                  <c:v>November 2021</c:v>
                </c:pt>
                <c:pt idx="28">
                  <c:v>December 2021</c:v>
                </c:pt>
                <c:pt idx="29">
                  <c:v>January 2022</c:v>
                </c:pt>
                <c:pt idx="30">
                  <c:v>February 2022</c:v>
                </c:pt>
                <c:pt idx="31">
                  <c:v>March 2022</c:v>
                </c:pt>
                <c:pt idx="32">
                  <c:v>April 2022</c:v>
                </c:pt>
                <c:pt idx="33">
                  <c:v>May 2022</c:v>
                </c:pt>
                <c:pt idx="34">
                  <c:v>June 2022</c:v>
                </c:pt>
                <c:pt idx="35">
                  <c:v>July 2022</c:v>
                </c:pt>
                <c:pt idx="36">
                  <c:v>August 2022</c:v>
                </c:pt>
                <c:pt idx="37">
                  <c:v>September 2022</c:v>
                </c:pt>
                <c:pt idx="38">
                  <c:v>October 2022</c:v>
                </c:pt>
                <c:pt idx="39">
                  <c:v>November 2022</c:v>
                </c:pt>
                <c:pt idx="40">
                  <c:v>December 2022</c:v>
                </c:pt>
                <c:pt idx="41">
                  <c:v>January 2023</c:v>
                </c:pt>
                <c:pt idx="42">
                  <c:v>February 2023</c:v>
                </c:pt>
                <c:pt idx="43">
                  <c:v>March 2023</c:v>
                </c:pt>
                <c:pt idx="44">
                  <c:v>April 2023</c:v>
                </c:pt>
                <c:pt idx="45">
                  <c:v>May 2023</c:v>
                </c:pt>
                <c:pt idx="46">
                  <c:v>June 2023</c:v>
                </c:pt>
                <c:pt idx="47">
                  <c:v>July 2023</c:v>
                </c:pt>
                <c:pt idx="48">
                  <c:v>August 2023</c:v>
                </c:pt>
                <c:pt idx="49">
                  <c:v>September 2023</c:v>
                </c:pt>
                <c:pt idx="50">
                  <c:v>October 2023</c:v>
                </c:pt>
                <c:pt idx="51">
                  <c:v>November 2023</c:v>
                </c:pt>
                <c:pt idx="52">
                  <c:v>December 2023</c:v>
                </c:pt>
                <c:pt idx="53">
                  <c:v>January 2024</c:v>
                </c:pt>
                <c:pt idx="54">
                  <c:v>February 2024</c:v>
                </c:pt>
                <c:pt idx="55">
                  <c:v>March 2024</c:v>
                </c:pt>
              </c:strCache>
            </c:strRef>
          </c:cat>
          <c:val>
            <c:numRef>
              <c:f>Sheet2!$C$3:$C$58</c:f>
              <c:numCache>
                <c:formatCode>0.00</c:formatCode>
                <c:ptCount val="56"/>
                <c:pt idx="0">
                  <c:v>2.6666666666666665</c:v>
                </c:pt>
                <c:pt idx="1">
                  <c:v>3.3333333333333335</c:v>
                </c:pt>
                <c:pt idx="2">
                  <c:v>3.6666666666666665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6</c:v>
                </c:pt>
                <c:pt idx="7">
                  <c:v>4.333333333333333</c:v>
                </c:pt>
                <c:pt idx="8">
                  <c:v>2.3333333333333335</c:v>
                </c:pt>
                <c:pt idx="9">
                  <c:v>1.6666666666666667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</c:v>
                </c:pt>
                <c:pt idx="13">
                  <c:v>1</c:v>
                </c:pt>
                <c:pt idx="14">
                  <c:v>1.3333333333333333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3</c:v>
                </c:pt>
                <c:pt idx="22">
                  <c:v>3.6666666666666665</c:v>
                </c:pt>
                <c:pt idx="23">
                  <c:v>4</c:v>
                </c:pt>
                <c:pt idx="24">
                  <c:v>3</c:v>
                </c:pt>
                <c:pt idx="25">
                  <c:v>3.6666666666666665</c:v>
                </c:pt>
                <c:pt idx="26">
                  <c:v>4.666666666666667</c:v>
                </c:pt>
                <c:pt idx="27">
                  <c:v>4</c:v>
                </c:pt>
                <c:pt idx="28">
                  <c:v>2.3333333333333335</c:v>
                </c:pt>
                <c:pt idx="29">
                  <c:v>0.66666666666666663</c:v>
                </c:pt>
                <c:pt idx="30">
                  <c:v>2.3333333333333335</c:v>
                </c:pt>
                <c:pt idx="31">
                  <c:v>6</c:v>
                </c:pt>
                <c:pt idx="32">
                  <c:v>8.6666666666666661</c:v>
                </c:pt>
                <c:pt idx="33">
                  <c:v>8.3333333333333339</c:v>
                </c:pt>
                <c:pt idx="34">
                  <c:v>5.333333333333333</c:v>
                </c:pt>
                <c:pt idx="35">
                  <c:v>3.6666666666666665</c:v>
                </c:pt>
                <c:pt idx="36">
                  <c:v>3.6666666666666665</c:v>
                </c:pt>
                <c:pt idx="37">
                  <c:v>4.333333333333333</c:v>
                </c:pt>
                <c:pt idx="38">
                  <c:v>7</c:v>
                </c:pt>
                <c:pt idx="39">
                  <c:v>11.333333333333334</c:v>
                </c:pt>
                <c:pt idx="40">
                  <c:v>12.666666666666666</c:v>
                </c:pt>
                <c:pt idx="41">
                  <c:v>13.666666666666666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6.666666666666667</c:v>
                </c:pt>
                <c:pt idx="45">
                  <c:v>6.333333333333333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6</c:v>
                </c:pt>
                <c:pt idx="52">
                  <c:v>6.666666666666667</c:v>
                </c:pt>
                <c:pt idx="53">
                  <c:v>8.6666666666666661</c:v>
                </c:pt>
                <c:pt idx="54">
                  <c:v>6.666666666666667</c:v>
                </c:pt>
                <c:pt idx="5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6-874E-9337-392309170C5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Sheet2!$K$3:$K$58</c:f>
              <c:numCache>
                <c:formatCode>0.00</c:formatCode>
                <c:ptCount val="56"/>
                <c:pt idx="0">
                  <c:v>23.799611111111108</c:v>
                </c:pt>
                <c:pt idx="1">
                  <c:v>27.899166666666662</c:v>
                </c:pt>
                <c:pt idx="2">
                  <c:v>28.610666666666663</c:v>
                </c:pt>
                <c:pt idx="3">
                  <c:v>22.613999999999994</c:v>
                </c:pt>
                <c:pt idx="4">
                  <c:v>16.297333333333331</c:v>
                </c:pt>
                <c:pt idx="5">
                  <c:v>12.995666666666667</c:v>
                </c:pt>
                <c:pt idx="6">
                  <c:v>11.898166666666667</c:v>
                </c:pt>
                <c:pt idx="7">
                  <c:v>11.094999999999999</c:v>
                </c:pt>
                <c:pt idx="8">
                  <c:v>8.5298333333333343</c:v>
                </c:pt>
                <c:pt idx="9">
                  <c:v>5.7339999999999991</c:v>
                </c:pt>
                <c:pt idx="10">
                  <c:v>6.7281666666666666</c:v>
                </c:pt>
                <c:pt idx="11">
                  <c:v>8.6348333333333329</c:v>
                </c:pt>
                <c:pt idx="12">
                  <c:v>13.377000000000001</c:v>
                </c:pt>
                <c:pt idx="13">
                  <c:v>16.015333333333334</c:v>
                </c:pt>
                <c:pt idx="14">
                  <c:v>17.160499999999999</c:v>
                </c:pt>
                <c:pt idx="15">
                  <c:v>13.650499999999999</c:v>
                </c:pt>
                <c:pt idx="16">
                  <c:v>10.033000000000001</c:v>
                </c:pt>
                <c:pt idx="17">
                  <c:v>9.7955000000000005</c:v>
                </c:pt>
                <c:pt idx="18">
                  <c:v>11.119166666666667</c:v>
                </c:pt>
                <c:pt idx="19">
                  <c:v>12.692666666666668</c:v>
                </c:pt>
                <c:pt idx="20">
                  <c:v>12.659333333333334</c:v>
                </c:pt>
                <c:pt idx="21">
                  <c:v>13.735666666666667</c:v>
                </c:pt>
                <c:pt idx="22">
                  <c:v>16.023833333333332</c:v>
                </c:pt>
                <c:pt idx="23">
                  <c:v>18.922166666666669</c:v>
                </c:pt>
                <c:pt idx="24">
                  <c:v>22.364833333333333</c:v>
                </c:pt>
                <c:pt idx="25">
                  <c:v>23.314000000000004</c:v>
                </c:pt>
                <c:pt idx="26">
                  <c:v>22.847333333333335</c:v>
                </c:pt>
                <c:pt idx="27">
                  <c:v>19.013999999999999</c:v>
                </c:pt>
                <c:pt idx="28">
                  <c:v>13.675333333333334</c:v>
                </c:pt>
                <c:pt idx="29">
                  <c:v>9.884500000000001</c:v>
                </c:pt>
                <c:pt idx="30">
                  <c:v>10.519833333333333</c:v>
                </c:pt>
                <c:pt idx="31">
                  <c:v>13.896000000000001</c:v>
                </c:pt>
                <c:pt idx="32">
                  <c:v>16.1785</c:v>
                </c:pt>
                <c:pt idx="33">
                  <c:v>15.2485</c:v>
                </c:pt>
                <c:pt idx="34">
                  <c:v>13.202666666666667</c:v>
                </c:pt>
                <c:pt idx="35">
                  <c:v>13.979333333333335</c:v>
                </c:pt>
                <c:pt idx="36">
                  <c:v>19.744666666666667</c:v>
                </c:pt>
                <c:pt idx="37">
                  <c:v>25.633833333333332</c:v>
                </c:pt>
                <c:pt idx="38">
                  <c:v>26.024833333333333</c:v>
                </c:pt>
                <c:pt idx="39">
                  <c:v>18.969333333333335</c:v>
                </c:pt>
                <c:pt idx="40">
                  <c:v>12.867833333333332</c:v>
                </c:pt>
                <c:pt idx="41">
                  <c:v>12.017388888888888</c:v>
                </c:pt>
                <c:pt idx="42">
                  <c:v>13.012222222222221</c:v>
                </c:pt>
                <c:pt idx="43">
                  <c:v>14.870388888888888</c:v>
                </c:pt>
                <c:pt idx="44">
                  <c:v>16.914833333333334</c:v>
                </c:pt>
                <c:pt idx="45">
                  <c:v>19.183499999999999</c:v>
                </c:pt>
                <c:pt idx="46">
                  <c:v>18.987666666666666</c:v>
                </c:pt>
                <c:pt idx="47">
                  <c:v>16.639666666666667</c:v>
                </c:pt>
                <c:pt idx="48">
                  <c:v>18.596166666666665</c:v>
                </c:pt>
                <c:pt idx="49">
                  <c:v>20.265333333333331</c:v>
                </c:pt>
                <c:pt idx="50">
                  <c:v>20.983333333333334</c:v>
                </c:pt>
                <c:pt idx="51">
                  <c:v>16.565833333333334</c:v>
                </c:pt>
                <c:pt idx="52">
                  <c:v>13.135</c:v>
                </c:pt>
                <c:pt idx="53">
                  <c:v>11.364333333333335</c:v>
                </c:pt>
                <c:pt idx="54">
                  <c:v>11.106</c:v>
                </c:pt>
                <c:pt idx="55">
                  <c:v>11.834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F6-874E-9337-392309170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06112"/>
        <c:axId val="1400207824"/>
      </c:lineChart>
      <c:catAx>
        <c:axId val="1400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7824"/>
        <c:crosses val="autoZero"/>
        <c:auto val="1"/>
        <c:lblAlgn val="ctr"/>
        <c:lblOffset val="100"/>
        <c:noMultiLvlLbl val="0"/>
      </c:catAx>
      <c:valAx>
        <c:axId val="1400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Sheet2!$A$3:$A$58</c:f>
              <c:strCache>
                <c:ptCount val="56"/>
                <c:pt idx="0">
                  <c:v>August 2019</c:v>
                </c:pt>
                <c:pt idx="1">
                  <c:v>September 2019</c:v>
                </c:pt>
                <c:pt idx="2">
                  <c:v>October 2019</c:v>
                </c:pt>
                <c:pt idx="3">
                  <c:v>November 2019</c:v>
                </c:pt>
                <c:pt idx="4">
                  <c:v>December 2019</c:v>
                </c:pt>
                <c:pt idx="5">
                  <c:v>January 2020</c:v>
                </c:pt>
                <c:pt idx="6">
                  <c:v>February 2020 </c:v>
                </c:pt>
                <c:pt idx="7">
                  <c:v>March 2020</c:v>
                </c:pt>
                <c:pt idx="8">
                  <c:v>April 2020</c:v>
                </c:pt>
                <c:pt idx="9">
                  <c:v>May 2020</c:v>
                </c:pt>
                <c:pt idx="10">
                  <c:v>June 2020</c:v>
                </c:pt>
                <c:pt idx="11">
                  <c:v>July 2020</c:v>
                </c:pt>
                <c:pt idx="12">
                  <c:v>August 2020</c:v>
                </c:pt>
                <c:pt idx="13">
                  <c:v>September 2020 </c:v>
                </c:pt>
                <c:pt idx="14">
                  <c:v>October 2020</c:v>
                </c:pt>
                <c:pt idx="15">
                  <c:v>November 2020</c:v>
                </c:pt>
                <c:pt idx="16">
                  <c:v>December 2020</c:v>
                </c:pt>
                <c:pt idx="17">
                  <c:v>January 2021</c:v>
                </c:pt>
                <c:pt idx="18">
                  <c:v>February 2021</c:v>
                </c:pt>
                <c:pt idx="19">
                  <c:v>March 2021</c:v>
                </c:pt>
                <c:pt idx="20">
                  <c:v>April 2021</c:v>
                </c:pt>
                <c:pt idx="21">
                  <c:v>May 2021</c:v>
                </c:pt>
                <c:pt idx="22">
                  <c:v>June 2021</c:v>
                </c:pt>
                <c:pt idx="23">
                  <c:v>July 2021</c:v>
                </c:pt>
                <c:pt idx="24">
                  <c:v>August 2021</c:v>
                </c:pt>
                <c:pt idx="25">
                  <c:v>September 2021</c:v>
                </c:pt>
                <c:pt idx="26">
                  <c:v>October 2021</c:v>
                </c:pt>
                <c:pt idx="27">
                  <c:v>November 2021</c:v>
                </c:pt>
                <c:pt idx="28">
                  <c:v>December 2021</c:v>
                </c:pt>
                <c:pt idx="29">
                  <c:v>January 2022</c:v>
                </c:pt>
                <c:pt idx="30">
                  <c:v>February 2022</c:v>
                </c:pt>
                <c:pt idx="31">
                  <c:v>March 2022</c:v>
                </c:pt>
                <c:pt idx="32">
                  <c:v>April 2022</c:v>
                </c:pt>
                <c:pt idx="33">
                  <c:v>May 2022</c:v>
                </c:pt>
                <c:pt idx="34">
                  <c:v>June 2022</c:v>
                </c:pt>
                <c:pt idx="35">
                  <c:v>July 2022</c:v>
                </c:pt>
                <c:pt idx="36">
                  <c:v>August 2022</c:v>
                </c:pt>
                <c:pt idx="37">
                  <c:v>September 2022</c:v>
                </c:pt>
                <c:pt idx="38">
                  <c:v>October 2022</c:v>
                </c:pt>
                <c:pt idx="39">
                  <c:v>November 2022</c:v>
                </c:pt>
                <c:pt idx="40">
                  <c:v>December 2022</c:v>
                </c:pt>
                <c:pt idx="41">
                  <c:v>January 2023</c:v>
                </c:pt>
                <c:pt idx="42">
                  <c:v>February 2023</c:v>
                </c:pt>
                <c:pt idx="43">
                  <c:v>March 2023</c:v>
                </c:pt>
                <c:pt idx="44">
                  <c:v>April 2023</c:v>
                </c:pt>
                <c:pt idx="45">
                  <c:v>May 2023</c:v>
                </c:pt>
                <c:pt idx="46">
                  <c:v>June 2023</c:v>
                </c:pt>
                <c:pt idx="47">
                  <c:v>July 2023</c:v>
                </c:pt>
                <c:pt idx="48">
                  <c:v>August 2023</c:v>
                </c:pt>
                <c:pt idx="49">
                  <c:v>September 2023</c:v>
                </c:pt>
                <c:pt idx="50">
                  <c:v>October 2023</c:v>
                </c:pt>
                <c:pt idx="51">
                  <c:v>November 2023</c:v>
                </c:pt>
                <c:pt idx="52">
                  <c:v>December 2023</c:v>
                </c:pt>
                <c:pt idx="53">
                  <c:v>January 2024</c:v>
                </c:pt>
                <c:pt idx="54">
                  <c:v>February 2024</c:v>
                </c:pt>
                <c:pt idx="55">
                  <c:v>March 2024</c:v>
                </c:pt>
              </c:strCache>
            </c:strRef>
          </c:cat>
          <c:val>
            <c:numRef>
              <c:f>Sheet2!$C$3:$C$58</c:f>
              <c:numCache>
                <c:formatCode>0.00</c:formatCode>
                <c:ptCount val="56"/>
                <c:pt idx="0">
                  <c:v>2.6666666666666665</c:v>
                </c:pt>
                <c:pt idx="1">
                  <c:v>3.3333333333333335</c:v>
                </c:pt>
                <c:pt idx="2">
                  <c:v>3.6666666666666665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6</c:v>
                </c:pt>
                <c:pt idx="7">
                  <c:v>4.333333333333333</c:v>
                </c:pt>
                <c:pt idx="8">
                  <c:v>2.3333333333333335</c:v>
                </c:pt>
                <c:pt idx="9">
                  <c:v>1.6666666666666667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</c:v>
                </c:pt>
                <c:pt idx="13">
                  <c:v>1</c:v>
                </c:pt>
                <c:pt idx="14">
                  <c:v>1.3333333333333333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3</c:v>
                </c:pt>
                <c:pt idx="22">
                  <c:v>3.6666666666666665</c:v>
                </c:pt>
                <c:pt idx="23">
                  <c:v>4</c:v>
                </c:pt>
                <c:pt idx="24">
                  <c:v>3</c:v>
                </c:pt>
                <c:pt idx="25">
                  <c:v>3.6666666666666665</c:v>
                </c:pt>
                <c:pt idx="26">
                  <c:v>4.666666666666667</c:v>
                </c:pt>
                <c:pt idx="27">
                  <c:v>4</c:v>
                </c:pt>
                <c:pt idx="28">
                  <c:v>2.3333333333333335</c:v>
                </c:pt>
                <c:pt idx="29">
                  <c:v>0.66666666666666663</c:v>
                </c:pt>
                <c:pt idx="30">
                  <c:v>2.3333333333333335</c:v>
                </c:pt>
                <c:pt idx="31">
                  <c:v>6</c:v>
                </c:pt>
                <c:pt idx="32">
                  <c:v>8.6666666666666661</c:v>
                </c:pt>
                <c:pt idx="33">
                  <c:v>8.3333333333333339</c:v>
                </c:pt>
                <c:pt idx="34">
                  <c:v>5.333333333333333</c:v>
                </c:pt>
                <c:pt idx="35">
                  <c:v>3.6666666666666665</c:v>
                </c:pt>
                <c:pt idx="36">
                  <c:v>3.6666666666666665</c:v>
                </c:pt>
                <c:pt idx="37">
                  <c:v>4.333333333333333</c:v>
                </c:pt>
                <c:pt idx="38">
                  <c:v>7</c:v>
                </c:pt>
                <c:pt idx="39">
                  <c:v>11.333333333333334</c:v>
                </c:pt>
                <c:pt idx="40">
                  <c:v>12.666666666666666</c:v>
                </c:pt>
                <c:pt idx="41">
                  <c:v>13.666666666666666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6.666666666666667</c:v>
                </c:pt>
                <c:pt idx="45">
                  <c:v>6.333333333333333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6</c:v>
                </c:pt>
                <c:pt idx="52">
                  <c:v>6.666666666666667</c:v>
                </c:pt>
                <c:pt idx="53">
                  <c:v>8.6666666666666661</c:v>
                </c:pt>
                <c:pt idx="54">
                  <c:v>6.666666666666667</c:v>
                </c:pt>
                <c:pt idx="5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A-ED41-BA19-0E1DD0E5025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Sheet2!$M$3:$M$58</c:f>
              <c:numCache>
                <c:formatCode>0.00</c:formatCode>
                <c:ptCount val="56"/>
                <c:pt idx="0">
                  <c:v>0.56844444444444442</c:v>
                </c:pt>
                <c:pt idx="1">
                  <c:v>0.26399999999999996</c:v>
                </c:pt>
                <c:pt idx="2">
                  <c:v>0.50666666666666671</c:v>
                </c:pt>
                <c:pt idx="3">
                  <c:v>1.1916666666666667</c:v>
                </c:pt>
                <c:pt idx="4">
                  <c:v>3.259666666666666</c:v>
                </c:pt>
                <c:pt idx="5">
                  <c:v>5.8888333333333334</c:v>
                </c:pt>
                <c:pt idx="6">
                  <c:v>8.1451666666666664</c:v>
                </c:pt>
                <c:pt idx="7">
                  <c:v>6.9691666666666672</c:v>
                </c:pt>
                <c:pt idx="8">
                  <c:v>4.1500000000000012</c:v>
                </c:pt>
                <c:pt idx="9">
                  <c:v>1.0986666666666667</c:v>
                </c:pt>
                <c:pt idx="10">
                  <c:v>0.11799999999999999</c:v>
                </c:pt>
                <c:pt idx="11">
                  <c:v>5.8833333333333328E-2</c:v>
                </c:pt>
                <c:pt idx="12">
                  <c:v>5.4166666666666662E-2</c:v>
                </c:pt>
                <c:pt idx="13">
                  <c:v>0.22950000000000004</c:v>
                </c:pt>
                <c:pt idx="14">
                  <c:v>0.23200000000000001</c:v>
                </c:pt>
                <c:pt idx="15">
                  <c:v>0.222</c:v>
                </c:pt>
                <c:pt idx="16">
                  <c:v>3.2000000000000001E-2</c:v>
                </c:pt>
                <c:pt idx="17">
                  <c:v>3.4499999999999996E-2</c:v>
                </c:pt>
                <c:pt idx="18">
                  <c:v>2.9166666666666664E-2</c:v>
                </c:pt>
                <c:pt idx="19">
                  <c:v>5.5166666666666662E-2</c:v>
                </c:pt>
                <c:pt idx="20">
                  <c:v>8.3500000000000005E-2</c:v>
                </c:pt>
                <c:pt idx="21">
                  <c:v>8.3500000000000005E-2</c:v>
                </c:pt>
                <c:pt idx="22">
                  <c:v>9.5499999999999988E-2</c:v>
                </c:pt>
                <c:pt idx="23">
                  <c:v>6.7166666666666666E-2</c:v>
                </c:pt>
                <c:pt idx="24">
                  <c:v>0.14649999999999999</c:v>
                </c:pt>
                <c:pt idx="25">
                  <c:v>0.26016666666666666</c:v>
                </c:pt>
                <c:pt idx="26">
                  <c:v>0.69299999999999995</c:v>
                </c:pt>
                <c:pt idx="27">
                  <c:v>1.9969999999999999</c:v>
                </c:pt>
                <c:pt idx="28">
                  <c:v>3.4870000000000001</c:v>
                </c:pt>
                <c:pt idx="29">
                  <c:v>4.5483333333333329</c:v>
                </c:pt>
                <c:pt idx="30">
                  <c:v>6.294999999999999</c:v>
                </c:pt>
                <c:pt idx="31">
                  <c:v>7.4574999999999996</c:v>
                </c:pt>
                <c:pt idx="32">
                  <c:v>8.1866666666666656</c:v>
                </c:pt>
                <c:pt idx="33">
                  <c:v>6.0558333333333332</c:v>
                </c:pt>
                <c:pt idx="34">
                  <c:v>3.5203333333333333</c:v>
                </c:pt>
                <c:pt idx="35">
                  <c:v>1.3019999999999998</c:v>
                </c:pt>
                <c:pt idx="36">
                  <c:v>0.34949999999999998</c:v>
                </c:pt>
                <c:pt idx="37">
                  <c:v>0.105</c:v>
                </c:pt>
                <c:pt idx="38">
                  <c:v>0.21999999999999997</c:v>
                </c:pt>
                <c:pt idx="39">
                  <c:v>0.47133333333333338</c:v>
                </c:pt>
                <c:pt idx="40">
                  <c:v>1.2504999999999999</c:v>
                </c:pt>
                <c:pt idx="41">
                  <c:v>2.4296666666666664</c:v>
                </c:pt>
                <c:pt idx="42">
                  <c:v>5.5483333333333329</c:v>
                </c:pt>
                <c:pt idx="43">
                  <c:v>7.9941666666666658</c:v>
                </c:pt>
                <c:pt idx="44">
                  <c:v>8.3133333333333326</c:v>
                </c:pt>
                <c:pt idx="45">
                  <c:v>5.2566666666666659</c:v>
                </c:pt>
                <c:pt idx="46">
                  <c:v>2.1283333333333334</c:v>
                </c:pt>
                <c:pt idx="47">
                  <c:v>0.61349999999999993</c:v>
                </c:pt>
                <c:pt idx="48">
                  <c:v>0.2535</c:v>
                </c:pt>
                <c:pt idx="49">
                  <c:v>0.16516666666666666</c:v>
                </c:pt>
                <c:pt idx="50">
                  <c:v>0.12049999999999998</c:v>
                </c:pt>
                <c:pt idx="51">
                  <c:v>0.29049999999999998</c:v>
                </c:pt>
                <c:pt idx="52">
                  <c:v>0.49466666666666664</c:v>
                </c:pt>
                <c:pt idx="53">
                  <c:v>0.95400000000000007</c:v>
                </c:pt>
                <c:pt idx="54">
                  <c:v>1.9281666666666666</c:v>
                </c:pt>
                <c:pt idx="55">
                  <c:v>2.5372499999999998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A-ED41-BA19-0E1DD0E5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206112"/>
        <c:axId val="1400207824"/>
      </c:lineChart>
      <c:catAx>
        <c:axId val="1400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7824"/>
        <c:crosses val="autoZero"/>
        <c:auto val="1"/>
        <c:lblAlgn val="ctr"/>
        <c:lblOffset val="100"/>
        <c:noMultiLvlLbl val="0"/>
      </c:catAx>
      <c:valAx>
        <c:axId val="1400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Sheet2!$A$3:$A$58</c:f>
              <c:strCache>
                <c:ptCount val="56"/>
                <c:pt idx="0">
                  <c:v>August 2019</c:v>
                </c:pt>
                <c:pt idx="1">
                  <c:v>September 2019</c:v>
                </c:pt>
                <c:pt idx="2">
                  <c:v>October 2019</c:v>
                </c:pt>
                <c:pt idx="3">
                  <c:v>November 2019</c:v>
                </c:pt>
                <c:pt idx="4">
                  <c:v>December 2019</c:v>
                </c:pt>
                <c:pt idx="5">
                  <c:v>January 2020</c:v>
                </c:pt>
                <c:pt idx="6">
                  <c:v>February 2020 </c:v>
                </c:pt>
                <c:pt idx="7">
                  <c:v>March 2020</c:v>
                </c:pt>
                <c:pt idx="8">
                  <c:v>April 2020</c:v>
                </c:pt>
                <c:pt idx="9">
                  <c:v>May 2020</c:v>
                </c:pt>
                <c:pt idx="10">
                  <c:v>June 2020</c:v>
                </c:pt>
                <c:pt idx="11">
                  <c:v>July 2020</c:v>
                </c:pt>
                <c:pt idx="12">
                  <c:v>August 2020</c:v>
                </c:pt>
                <c:pt idx="13">
                  <c:v>September 2020 </c:v>
                </c:pt>
                <c:pt idx="14">
                  <c:v>October 2020</c:v>
                </c:pt>
                <c:pt idx="15">
                  <c:v>November 2020</c:v>
                </c:pt>
                <c:pt idx="16">
                  <c:v>December 2020</c:v>
                </c:pt>
                <c:pt idx="17">
                  <c:v>January 2021</c:v>
                </c:pt>
                <c:pt idx="18">
                  <c:v>February 2021</c:v>
                </c:pt>
                <c:pt idx="19">
                  <c:v>March 2021</c:v>
                </c:pt>
                <c:pt idx="20">
                  <c:v>April 2021</c:v>
                </c:pt>
                <c:pt idx="21">
                  <c:v>May 2021</c:v>
                </c:pt>
                <c:pt idx="22">
                  <c:v>June 2021</c:v>
                </c:pt>
                <c:pt idx="23">
                  <c:v>July 2021</c:v>
                </c:pt>
                <c:pt idx="24">
                  <c:v>August 2021</c:v>
                </c:pt>
                <c:pt idx="25">
                  <c:v>September 2021</c:v>
                </c:pt>
                <c:pt idx="26">
                  <c:v>October 2021</c:v>
                </c:pt>
                <c:pt idx="27">
                  <c:v>November 2021</c:v>
                </c:pt>
                <c:pt idx="28">
                  <c:v>December 2021</c:v>
                </c:pt>
                <c:pt idx="29">
                  <c:v>January 2022</c:v>
                </c:pt>
                <c:pt idx="30">
                  <c:v>February 2022</c:v>
                </c:pt>
                <c:pt idx="31">
                  <c:v>March 2022</c:v>
                </c:pt>
                <c:pt idx="32">
                  <c:v>April 2022</c:v>
                </c:pt>
                <c:pt idx="33">
                  <c:v>May 2022</c:v>
                </c:pt>
                <c:pt idx="34">
                  <c:v>June 2022</c:v>
                </c:pt>
                <c:pt idx="35">
                  <c:v>July 2022</c:v>
                </c:pt>
                <c:pt idx="36">
                  <c:v>August 2022</c:v>
                </c:pt>
                <c:pt idx="37">
                  <c:v>September 2022</c:v>
                </c:pt>
                <c:pt idx="38">
                  <c:v>October 2022</c:v>
                </c:pt>
                <c:pt idx="39">
                  <c:v>November 2022</c:v>
                </c:pt>
                <c:pt idx="40">
                  <c:v>December 2022</c:v>
                </c:pt>
                <c:pt idx="41">
                  <c:v>January 2023</c:v>
                </c:pt>
                <c:pt idx="42">
                  <c:v>February 2023</c:v>
                </c:pt>
                <c:pt idx="43">
                  <c:v>March 2023</c:v>
                </c:pt>
                <c:pt idx="44">
                  <c:v>April 2023</c:v>
                </c:pt>
                <c:pt idx="45">
                  <c:v>May 2023</c:v>
                </c:pt>
                <c:pt idx="46">
                  <c:v>June 2023</c:v>
                </c:pt>
                <c:pt idx="47">
                  <c:v>July 2023</c:v>
                </c:pt>
                <c:pt idx="48">
                  <c:v>August 2023</c:v>
                </c:pt>
                <c:pt idx="49">
                  <c:v>September 2023</c:v>
                </c:pt>
                <c:pt idx="50">
                  <c:v>October 2023</c:v>
                </c:pt>
                <c:pt idx="51">
                  <c:v>November 2023</c:v>
                </c:pt>
                <c:pt idx="52">
                  <c:v>December 2023</c:v>
                </c:pt>
                <c:pt idx="53">
                  <c:v>January 2024</c:v>
                </c:pt>
                <c:pt idx="54">
                  <c:v>February 2024</c:v>
                </c:pt>
                <c:pt idx="55">
                  <c:v>March 2024</c:v>
                </c:pt>
              </c:strCache>
            </c:strRef>
          </c:cat>
          <c:val>
            <c:numRef>
              <c:f>Sheet2!$C$3:$C$58</c:f>
              <c:numCache>
                <c:formatCode>0.00</c:formatCode>
                <c:ptCount val="56"/>
                <c:pt idx="0">
                  <c:v>2.6666666666666665</c:v>
                </c:pt>
                <c:pt idx="1">
                  <c:v>3.3333333333333335</c:v>
                </c:pt>
                <c:pt idx="2">
                  <c:v>3.6666666666666665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6</c:v>
                </c:pt>
                <c:pt idx="7">
                  <c:v>4.333333333333333</c:v>
                </c:pt>
                <c:pt idx="8">
                  <c:v>2.3333333333333335</c:v>
                </c:pt>
                <c:pt idx="9">
                  <c:v>1.6666666666666667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</c:v>
                </c:pt>
                <c:pt idx="13">
                  <c:v>1</c:v>
                </c:pt>
                <c:pt idx="14">
                  <c:v>1.3333333333333333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3</c:v>
                </c:pt>
                <c:pt idx="22">
                  <c:v>3.6666666666666665</c:v>
                </c:pt>
                <c:pt idx="23">
                  <c:v>4</c:v>
                </c:pt>
                <c:pt idx="24">
                  <c:v>3</c:v>
                </c:pt>
                <c:pt idx="25">
                  <c:v>3.6666666666666665</c:v>
                </c:pt>
                <c:pt idx="26">
                  <c:v>4.666666666666667</c:v>
                </c:pt>
                <c:pt idx="27">
                  <c:v>4</c:v>
                </c:pt>
                <c:pt idx="28">
                  <c:v>2.3333333333333335</c:v>
                </c:pt>
                <c:pt idx="29">
                  <c:v>0.66666666666666663</c:v>
                </c:pt>
                <c:pt idx="30">
                  <c:v>2.3333333333333335</c:v>
                </c:pt>
                <c:pt idx="31">
                  <c:v>6</c:v>
                </c:pt>
                <c:pt idx="32">
                  <c:v>8.6666666666666661</c:v>
                </c:pt>
                <c:pt idx="33">
                  <c:v>8.3333333333333339</c:v>
                </c:pt>
                <c:pt idx="34">
                  <c:v>5.333333333333333</c:v>
                </c:pt>
                <c:pt idx="35">
                  <c:v>3.6666666666666665</c:v>
                </c:pt>
                <c:pt idx="36">
                  <c:v>3.6666666666666665</c:v>
                </c:pt>
                <c:pt idx="37">
                  <c:v>4.333333333333333</c:v>
                </c:pt>
                <c:pt idx="38">
                  <c:v>7</c:v>
                </c:pt>
                <c:pt idx="39">
                  <c:v>11.333333333333334</c:v>
                </c:pt>
                <c:pt idx="40">
                  <c:v>12.666666666666666</c:v>
                </c:pt>
                <c:pt idx="41">
                  <c:v>13.666666666666666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6.666666666666667</c:v>
                </c:pt>
                <c:pt idx="45">
                  <c:v>6.333333333333333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6</c:v>
                </c:pt>
                <c:pt idx="52">
                  <c:v>6.666666666666667</c:v>
                </c:pt>
                <c:pt idx="53">
                  <c:v>8.6666666666666661</c:v>
                </c:pt>
                <c:pt idx="54">
                  <c:v>6.666666666666667</c:v>
                </c:pt>
                <c:pt idx="5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8-824A-B527-F86ED406AE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Sheet2!$O$3:$O$58</c:f>
              <c:numCache>
                <c:formatCode>0.00</c:formatCode>
                <c:ptCount val="56"/>
                <c:pt idx="0">
                  <c:v>2.5566666666666666</c:v>
                </c:pt>
                <c:pt idx="1">
                  <c:v>2.3526666666666665</c:v>
                </c:pt>
                <c:pt idx="2">
                  <c:v>2.9134999999999995</c:v>
                </c:pt>
                <c:pt idx="3">
                  <c:v>3.1601666666666666</c:v>
                </c:pt>
                <c:pt idx="4">
                  <c:v>3.0468333333333333</c:v>
                </c:pt>
                <c:pt idx="5">
                  <c:v>2.7243333333333335</c:v>
                </c:pt>
                <c:pt idx="6">
                  <c:v>2.4101666666666666</c:v>
                </c:pt>
                <c:pt idx="7">
                  <c:v>2.2934999999999999</c:v>
                </c:pt>
                <c:pt idx="8">
                  <c:v>2.081</c:v>
                </c:pt>
                <c:pt idx="9">
                  <c:v>2.0076666666666667</c:v>
                </c:pt>
                <c:pt idx="10">
                  <c:v>1.8308333333333333</c:v>
                </c:pt>
                <c:pt idx="11">
                  <c:v>1.6358333333333333</c:v>
                </c:pt>
                <c:pt idx="12">
                  <c:v>1.4180000000000001</c:v>
                </c:pt>
                <c:pt idx="13">
                  <c:v>1.1913333333333334</c:v>
                </c:pt>
                <c:pt idx="14">
                  <c:v>1.0188333333333335</c:v>
                </c:pt>
                <c:pt idx="15">
                  <c:v>0.98150000000000004</c:v>
                </c:pt>
                <c:pt idx="16">
                  <c:v>0.94900000000000018</c:v>
                </c:pt>
                <c:pt idx="17">
                  <c:v>1.0815000000000001</c:v>
                </c:pt>
                <c:pt idx="18">
                  <c:v>1.4083333333333332</c:v>
                </c:pt>
                <c:pt idx="19">
                  <c:v>1.6456666666666664</c:v>
                </c:pt>
                <c:pt idx="20">
                  <c:v>1.9515</c:v>
                </c:pt>
                <c:pt idx="21">
                  <c:v>2.0773333333333333</c:v>
                </c:pt>
                <c:pt idx="22">
                  <c:v>2.420666666666667</c:v>
                </c:pt>
                <c:pt idx="23">
                  <c:v>2.5348333333333333</c:v>
                </c:pt>
                <c:pt idx="24">
                  <c:v>2.4681666666666664</c:v>
                </c:pt>
                <c:pt idx="25">
                  <c:v>2.7341666666666669</c:v>
                </c:pt>
                <c:pt idx="26">
                  <c:v>2.9541666666666671</c:v>
                </c:pt>
                <c:pt idx="27">
                  <c:v>3.2995000000000001</c:v>
                </c:pt>
                <c:pt idx="28">
                  <c:v>3.1861666666666664</c:v>
                </c:pt>
                <c:pt idx="29">
                  <c:v>3.0326666666666662</c:v>
                </c:pt>
                <c:pt idx="30">
                  <c:v>3.1080000000000001</c:v>
                </c:pt>
                <c:pt idx="31">
                  <c:v>2.9146666666666667</c:v>
                </c:pt>
                <c:pt idx="32">
                  <c:v>3.277333333333333</c:v>
                </c:pt>
                <c:pt idx="33">
                  <c:v>3.2724999999999995</c:v>
                </c:pt>
                <c:pt idx="34">
                  <c:v>3.407833333333333</c:v>
                </c:pt>
                <c:pt idx="35">
                  <c:v>3.0278333333333336</c:v>
                </c:pt>
                <c:pt idx="36">
                  <c:v>2.6346666666666665</c:v>
                </c:pt>
                <c:pt idx="37">
                  <c:v>2.9026666666666667</c:v>
                </c:pt>
                <c:pt idx="38">
                  <c:v>3.3493333333333335</c:v>
                </c:pt>
                <c:pt idx="39">
                  <c:v>3.4691666666666663</c:v>
                </c:pt>
                <c:pt idx="40">
                  <c:v>3.3641666666666663</c:v>
                </c:pt>
                <c:pt idx="41">
                  <c:v>3.5441666666666669</c:v>
                </c:pt>
                <c:pt idx="42">
                  <c:v>4.4683333333333328</c:v>
                </c:pt>
                <c:pt idx="43">
                  <c:v>4.935833333333334</c:v>
                </c:pt>
                <c:pt idx="44">
                  <c:v>5.4341666666666661</c:v>
                </c:pt>
                <c:pt idx="45">
                  <c:v>5.5415000000000001</c:v>
                </c:pt>
                <c:pt idx="46">
                  <c:v>5.2673333333333341</c:v>
                </c:pt>
                <c:pt idx="47">
                  <c:v>4.5476666666666672</c:v>
                </c:pt>
                <c:pt idx="48">
                  <c:v>3.4145000000000003</c:v>
                </c:pt>
                <c:pt idx="49">
                  <c:v>3.0603333333333338</c:v>
                </c:pt>
                <c:pt idx="50">
                  <c:v>2.7974999999999994</c:v>
                </c:pt>
                <c:pt idx="51">
                  <c:v>2.8516666666666666</c:v>
                </c:pt>
                <c:pt idx="52">
                  <c:v>2.7266666666666666</c:v>
                </c:pt>
                <c:pt idx="53">
                  <c:v>2.5425</c:v>
                </c:pt>
                <c:pt idx="54">
                  <c:v>2.4950000000000006</c:v>
                </c:pt>
                <c:pt idx="55">
                  <c:v>2.42875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8-824A-B527-F86ED406A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206112"/>
        <c:axId val="1400207824"/>
      </c:lineChart>
      <c:catAx>
        <c:axId val="1400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7824"/>
        <c:crosses val="autoZero"/>
        <c:auto val="1"/>
        <c:lblAlgn val="ctr"/>
        <c:lblOffset val="100"/>
        <c:noMultiLvlLbl val="0"/>
      </c:catAx>
      <c:valAx>
        <c:axId val="1400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Sheet2!$A$3:$A$58</c:f>
              <c:strCache>
                <c:ptCount val="56"/>
                <c:pt idx="0">
                  <c:v>August 2019</c:v>
                </c:pt>
                <c:pt idx="1">
                  <c:v>September 2019</c:v>
                </c:pt>
                <c:pt idx="2">
                  <c:v>October 2019</c:v>
                </c:pt>
                <c:pt idx="3">
                  <c:v>November 2019</c:v>
                </c:pt>
                <c:pt idx="4">
                  <c:v>December 2019</c:v>
                </c:pt>
                <c:pt idx="5">
                  <c:v>January 2020</c:v>
                </c:pt>
                <c:pt idx="6">
                  <c:v>February 2020 </c:v>
                </c:pt>
                <c:pt idx="7">
                  <c:v>March 2020</c:v>
                </c:pt>
                <c:pt idx="8">
                  <c:v>April 2020</c:v>
                </c:pt>
                <c:pt idx="9">
                  <c:v>May 2020</c:v>
                </c:pt>
                <c:pt idx="10">
                  <c:v>June 2020</c:v>
                </c:pt>
                <c:pt idx="11">
                  <c:v>July 2020</c:v>
                </c:pt>
                <c:pt idx="12">
                  <c:v>August 2020</c:v>
                </c:pt>
                <c:pt idx="13">
                  <c:v>September 2020 </c:v>
                </c:pt>
                <c:pt idx="14">
                  <c:v>October 2020</c:v>
                </c:pt>
                <c:pt idx="15">
                  <c:v>November 2020</c:v>
                </c:pt>
                <c:pt idx="16">
                  <c:v>December 2020</c:v>
                </c:pt>
                <c:pt idx="17">
                  <c:v>January 2021</c:v>
                </c:pt>
                <c:pt idx="18">
                  <c:v>February 2021</c:v>
                </c:pt>
                <c:pt idx="19">
                  <c:v>March 2021</c:v>
                </c:pt>
                <c:pt idx="20">
                  <c:v>April 2021</c:v>
                </c:pt>
                <c:pt idx="21">
                  <c:v>May 2021</c:v>
                </c:pt>
                <c:pt idx="22">
                  <c:v>June 2021</c:v>
                </c:pt>
                <c:pt idx="23">
                  <c:v>July 2021</c:v>
                </c:pt>
                <c:pt idx="24">
                  <c:v>August 2021</c:v>
                </c:pt>
                <c:pt idx="25">
                  <c:v>September 2021</c:v>
                </c:pt>
                <c:pt idx="26">
                  <c:v>October 2021</c:v>
                </c:pt>
                <c:pt idx="27">
                  <c:v>November 2021</c:v>
                </c:pt>
                <c:pt idx="28">
                  <c:v>December 2021</c:v>
                </c:pt>
                <c:pt idx="29">
                  <c:v>January 2022</c:v>
                </c:pt>
                <c:pt idx="30">
                  <c:v>February 2022</c:v>
                </c:pt>
                <c:pt idx="31">
                  <c:v>March 2022</c:v>
                </c:pt>
                <c:pt idx="32">
                  <c:v>April 2022</c:v>
                </c:pt>
                <c:pt idx="33">
                  <c:v>May 2022</c:v>
                </c:pt>
                <c:pt idx="34">
                  <c:v>June 2022</c:v>
                </c:pt>
                <c:pt idx="35">
                  <c:v>July 2022</c:v>
                </c:pt>
                <c:pt idx="36">
                  <c:v>August 2022</c:v>
                </c:pt>
                <c:pt idx="37">
                  <c:v>September 2022</c:v>
                </c:pt>
                <c:pt idx="38">
                  <c:v>October 2022</c:v>
                </c:pt>
                <c:pt idx="39">
                  <c:v>November 2022</c:v>
                </c:pt>
                <c:pt idx="40">
                  <c:v>December 2022</c:v>
                </c:pt>
                <c:pt idx="41">
                  <c:v>January 2023</c:v>
                </c:pt>
                <c:pt idx="42">
                  <c:v>February 2023</c:v>
                </c:pt>
                <c:pt idx="43">
                  <c:v>March 2023</c:v>
                </c:pt>
                <c:pt idx="44">
                  <c:v>April 2023</c:v>
                </c:pt>
                <c:pt idx="45">
                  <c:v>May 2023</c:v>
                </c:pt>
                <c:pt idx="46">
                  <c:v>June 2023</c:v>
                </c:pt>
                <c:pt idx="47">
                  <c:v>July 2023</c:v>
                </c:pt>
                <c:pt idx="48">
                  <c:v>August 2023</c:v>
                </c:pt>
                <c:pt idx="49">
                  <c:v>September 2023</c:v>
                </c:pt>
                <c:pt idx="50">
                  <c:v>October 2023</c:v>
                </c:pt>
                <c:pt idx="51">
                  <c:v>November 2023</c:v>
                </c:pt>
                <c:pt idx="52">
                  <c:v>December 2023</c:v>
                </c:pt>
                <c:pt idx="53">
                  <c:v>January 2024</c:v>
                </c:pt>
                <c:pt idx="54">
                  <c:v>February 2024</c:v>
                </c:pt>
                <c:pt idx="55">
                  <c:v>March 2024</c:v>
                </c:pt>
              </c:strCache>
            </c:strRef>
          </c:cat>
          <c:val>
            <c:numRef>
              <c:f>Sheet2!$C$3:$C$58</c:f>
              <c:numCache>
                <c:formatCode>0.00</c:formatCode>
                <c:ptCount val="56"/>
                <c:pt idx="0">
                  <c:v>2.6666666666666665</c:v>
                </c:pt>
                <c:pt idx="1">
                  <c:v>3.3333333333333335</c:v>
                </c:pt>
                <c:pt idx="2">
                  <c:v>3.6666666666666665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6</c:v>
                </c:pt>
                <c:pt idx="7">
                  <c:v>4.333333333333333</c:v>
                </c:pt>
                <c:pt idx="8">
                  <c:v>2.3333333333333335</c:v>
                </c:pt>
                <c:pt idx="9">
                  <c:v>1.6666666666666667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</c:v>
                </c:pt>
                <c:pt idx="13">
                  <c:v>1</c:v>
                </c:pt>
                <c:pt idx="14">
                  <c:v>1.3333333333333333</c:v>
                </c:pt>
                <c:pt idx="15">
                  <c:v>1</c:v>
                </c:pt>
                <c:pt idx="16">
                  <c:v>1.3333333333333333</c:v>
                </c:pt>
                <c:pt idx="17">
                  <c:v>1</c:v>
                </c:pt>
                <c:pt idx="18">
                  <c:v>1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3</c:v>
                </c:pt>
                <c:pt idx="22">
                  <c:v>3.6666666666666665</c:v>
                </c:pt>
                <c:pt idx="23">
                  <c:v>4</c:v>
                </c:pt>
                <c:pt idx="24">
                  <c:v>3</c:v>
                </c:pt>
                <c:pt idx="25">
                  <c:v>3.6666666666666665</c:v>
                </c:pt>
                <c:pt idx="26">
                  <c:v>4.666666666666667</c:v>
                </c:pt>
                <c:pt idx="27">
                  <c:v>4</c:v>
                </c:pt>
                <c:pt idx="28">
                  <c:v>2.3333333333333335</c:v>
                </c:pt>
                <c:pt idx="29">
                  <c:v>0.66666666666666663</c:v>
                </c:pt>
                <c:pt idx="30">
                  <c:v>2.3333333333333335</c:v>
                </c:pt>
                <c:pt idx="31">
                  <c:v>6</c:v>
                </c:pt>
                <c:pt idx="32">
                  <c:v>8.6666666666666661</c:v>
                </c:pt>
                <c:pt idx="33">
                  <c:v>8.3333333333333339</c:v>
                </c:pt>
                <c:pt idx="34">
                  <c:v>5.333333333333333</c:v>
                </c:pt>
                <c:pt idx="35">
                  <c:v>3.6666666666666665</c:v>
                </c:pt>
                <c:pt idx="36">
                  <c:v>3.6666666666666665</c:v>
                </c:pt>
                <c:pt idx="37">
                  <c:v>4.333333333333333</c:v>
                </c:pt>
                <c:pt idx="38">
                  <c:v>7</c:v>
                </c:pt>
                <c:pt idx="39">
                  <c:v>11.333333333333334</c:v>
                </c:pt>
                <c:pt idx="40">
                  <c:v>12.666666666666666</c:v>
                </c:pt>
                <c:pt idx="41">
                  <c:v>13.666666666666666</c:v>
                </c:pt>
                <c:pt idx="42">
                  <c:v>9.3333333333333339</c:v>
                </c:pt>
                <c:pt idx="43">
                  <c:v>9.3333333333333339</c:v>
                </c:pt>
                <c:pt idx="44">
                  <c:v>6.666666666666667</c:v>
                </c:pt>
                <c:pt idx="45">
                  <c:v>6.333333333333333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6</c:v>
                </c:pt>
                <c:pt idx="52">
                  <c:v>6.666666666666667</c:v>
                </c:pt>
                <c:pt idx="53">
                  <c:v>8.6666666666666661</c:v>
                </c:pt>
                <c:pt idx="54">
                  <c:v>6.666666666666667</c:v>
                </c:pt>
                <c:pt idx="5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E-D04D-B06A-815B083495B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Sheet2!$Q$3:$Q$58</c:f>
              <c:numCache>
                <c:formatCode>0.00</c:formatCode>
                <c:ptCount val="56"/>
                <c:pt idx="0">
                  <c:v>0.40349999999999997</c:v>
                </c:pt>
                <c:pt idx="1">
                  <c:v>0.41850000000000004</c:v>
                </c:pt>
                <c:pt idx="2">
                  <c:v>0.55016666666666669</c:v>
                </c:pt>
                <c:pt idx="3">
                  <c:v>2.1293333333333333</c:v>
                </c:pt>
                <c:pt idx="4">
                  <c:v>5.0186666666666673</c:v>
                </c:pt>
                <c:pt idx="5">
                  <c:v>7.0053333333333336</c:v>
                </c:pt>
                <c:pt idx="6">
                  <c:v>7.4336666666666673</c:v>
                </c:pt>
                <c:pt idx="7">
                  <c:v>5.181</c:v>
                </c:pt>
                <c:pt idx="8">
                  <c:v>3.100166666666667</c:v>
                </c:pt>
                <c:pt idx="9">
                  <c:v>1.0396666666666665</c:v>
                </c:pt>
                <c:pt idx="10">
                  <c:v>0.27866666666666667</c:v>
                </c:pt>
                <c:pt idx="11">
                  <c:v>0.10116666666666667</c:v>
                </c:pt>
                <c:pt idx="12">
                  <c:v>8.8499999999999981E-2</c:v>
                </c:pt>
                <c:pt idx="13">
                  <c:v>8.5166666666666668E-2</c:v>
                </c:pt>
                <c:pt idx="14">
                  <c:v>8.6000000000000007E-2</c:v>
                </c:pt>
                <c:pt idx="15">
                  <c:v>6.8666666666666668E-2</c:v>
                </c:pt>
                <c:pt idx="16">
                  <c:v>8.2000000000000003E-2</c:v>
                </c:pt>
                <c:pt idx="17">
                  <c:v>8.6166666666666655E-2</c:v>
                </c:pt>
                <c:pt idx="18">
                  <c:v>0.21</c:v>
                </c:pt>
                <c:pt idx="19">
                  <c:v>1.079</c:v>
                </c:pt>
                <c:pt idx="20">
                  <c:v>2.4015</c:v>
                </c:pt>
                <c:pt idx="21">
                  <c:v>4.1703333333333328</c:v>
                </c:pt>
                <c:pt idx="22">
                  <c:v>4.535222222222222</c:v>
                </c:pt>
                <c:pt idx="23">
                  <c:v>4.4435555555555553</c:v>
                </c:pt>
                <c:pt idx="24">
                  <c:v>3.1513888888888886</c:v>
                </c:pt>
                <c:pt idx="25">
                  <c:v>2.4858333333333333</c:v>
                </c:pt>
                <c:pt idx="26">
                  <c:v>2.0308333333333333</c:v>
                </c:pt>
                <c:pt idx="27">
                  <c:v>2.8083333333333336</c:v>
                </c:pt>
                <c:pt idx="28">
                  <c:v>3.4133333333333336</c:v>
                </c:pt>
                <c:pt idx="29">
                  <c:v>3.4650000000000003</c:v>
                </c:pt>
                <c:pt idx="30">
                  <c:v>3.9433333333333334</c:v>
                </c:pt>
                <c:pt idx="31">
                  <c:v>5.1896666666666667</c:v>
                </c:pt>
                <c:pt idx="32">
                  <c:v>6.8171666666666679</c:v>
                </c:pt>
                <c:pt idx="33">
                  <c:v>6.176166666666667</c:v>
                </c:pt>
                <c:pt idx="34">
                  <c:v>4.0292777777777777</c:v>
                </c:pt>
                <c:pt idx="35">
                  <c:v>1.7251111111111113</c:v>
                </c:pt>
                <c:pt idx="36">
                  <c:v>0.62277777777777776</c:v>
                </c:pt>
                <c:pt idx="37">
                  <c:v>0.47083333333333338</c:v>
                </c:pt>
                <c:pt idx="38">
                  <c:v>0.59149999999999991</c:v>
                </c:pt>
                <c:pt idx="39">
                  <c:v>1.3231666666666666</c:v>
                </c:pt>
                <c:pt idx="40">
                  <c:v>2.7531666666666665</c:v>
                </c:pt>
                <c:pt idx="41">
                  <c:v>5.7758333333333338</c:v>
                </c:pt>
                <c:pt idx="42">
                  <c:v>8.0598333333333319</c:v>
                </c:pt>
                <c:pt idx="43">
                  <c:v>7.9289999999999994</c:v>
                </c:pt>
                <c:pt idx="44">
                  <c:v>5.3314999999999992</c:v>
                </c:pt>
                <c:pt idx="45">
                  <c:v>2.4508333333333332</c:v>
                </c:pt>
                <c:pt idx="46">
                  <c:v>1.1431666666666664</c:v>
                </c:pt>
                <c:pt idx="47">
                  <c:v>0.61399999999999999</c:v>
                </c:pt>
                <c:pt idx="48">
                  <c:v>0.45983333333333326</c:v>
                </c:pt>
                <c:pt idx="49">
                  <c:v>0.41666666666666669</c:v>
                </c:pt>
                <c:pt idx="50">
                  <c:v>0.37533333333333335</c:v>
                </c:pt>
                <c:pt idx="51">
                  <c:v>0.91700000000000015</c:v>
                </c:pt>
                <c:pt idx="52">
                  <c:v>2.0794999999999999</c:v>
                </c:pt>
                <c:pt idx="53">
                  <c:v>4.4530555555555553</c:v>
                </c:pt>
                <c:pt idx="54">
                  <c:v>6.5547222222222219</c:v>
                </c:pt>
                <c:pt idx="55">
                  <c:v>7.9220833333333331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E-D04D-B06A-815B08349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206112"/>
        <c:axId val="1400207824"/>
      </c:lineChart>
      <c:catAx>
        <c:axId val="1400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7824"/>
        <c:crosses val="autoZero"/>
        <c:auto val="1"/>
        <c:lblAlgn val="ctr"/>
        <c:lblOffset val="100"/>
        <c:noMultiLvlLbl val="0"/>
      </c:catAx>
      <c:valAx>
        <c:axId val="14002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700"/>
              <a:t> Orbital Cellulitis and Rates of COVID-19</a:t>
            </a:r>
            <a:r>
              <a:rPr lang="en-US" sz="4700" baseline="0"/>
              <a:t> Infection among Children in Colorado</a:t>
            </a:r>
            <a:endParaRPr lang="en-US" sz="47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Orbital Cellulitis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Sheet4!$A$2:$A$52</c:f>
              <c:strCache>
                <c:ptCount val="51"/>
                <c:pt idx="0">
                  <c:v>January 2020</c:v>
                </c:pt>
                <c:pt idx="1">
                  <c:v>February 2020 </c:v>
                </c:pt>
                <c:pt idx="2">
                  <c:v>March 2020</c:v>
                </c:pt>
                <c:pt idx="3">
                  <c:v>April 2020</c:v>
                </c:pt>
                <c:pt idx="4">
                  <c:v>May 2020</c:v>
                </c:pt>
                <c:pt idx="5">
                  <c:v>June 2020</c:v>
                </c:pt>
                <c:pt idx="6">
                  <c:v>July 2020</c:v>
                </c:pt>
                <c:pt idx="7">
                  <c:v>August 2020</c:v>
                </c:pt>
                <c:pt idx="8">
                  <c:v>September 2020 </c:v>
                </c:pt>
                <c:pt idx="9">
                  <c:v>October 2020</c:v>
                </c:pt>
                <c:pt idx="10">
                  <c:v>November 2020</c:v>
                </c:pt>
                <c:pt idx="11">
                  <c:v>December 2020</c:v>
                </c:pt>
                <c:pt idx="12">
                  <c:v>January 2021</c:v>
                </c:pt>
                <c:pt idx="13">
                  <c:v>February 2021</c:v>
                </c:pt>
                <c:pt idx="14">
                  <c:v>March 2021</c:v>
                </c:pt>
                <c:pt idx="15">
                  <c:v>April 2021</c:v>
                </c:pt>
                <c:pt idx="16">
                  <c:v>May 2021</c:v>
                </c:pt>
                <c:pt idx="17">
                  <c:v>June 2021</c:v>
                </c:pt>
                <c:pt idx="18">
                  <c:v>July 2021</c:v>
                </c:pt>
                <c:pt idx="19">
                  <c:v>August 2021</c:v>
                </c:pt>
                <c:pt idx="20">
                  <c:v>September 2021</c:v>
                </c:pt>
                <c:pt idx="21">
                  <c:v>October 2021</c:v>
                </c:pt>
                <c:pt idx="22">
                  <c:v>November 2021</c:v>
                </c:pt>
                <c:pt idx="23">
                  <c:v>December 2021</c:v>
                </c:pt>
                <c:pt idx="24">
                  <c:v>January 2022</c:v>
                </c:pt>
                <c:pt idx="25">
                  <c:v>February 2022</c:v>
                </c:pt>
                <c:pt idx="26">
                  <c:v>March 2022</c:v>
                </c:pt>
                <c:pt idx="27">
                  <c:v>April 2022</c:v>
                </c:pt>
                <c:pt idx="28">
                  <c:v>May 2022</c:v>
                </c:pt>
                <c:pt idx="29">
                  <c:v>June 2022</c:v>
                </c:pt>
                <c:pt idx="30">
                  <c:v>July 2022</c:v>
                </c:pt>
                <c:pt idx="31">
                  <c:v>August 2022</c:v>
                </c:pt>
                <c:pt idx="32">
                  <c:v>September 2022</c:v>
                </c:pt>
                <c:pt idx="33">
                  <c:v>October 2022</c:v>
                </c:pt>
                <c:pt idx="34">
                  <c:v>November 2022</c:v>
                </c:pt>
                <c:pt idx="35">
                  <c:v>December 2022</c:v>
                </c:pt>
                <c:pt idx="36">
                  <c:v>January 2023</c:v>
                </c:pt>
                <c:pt idx="37">
                  <c:v>February 2023</c:v>
                </c:pt>
                <c:pt idx="38">
                  <c:v>March 2023</c:v>
                </c:pt>
                <c:pt idx="39">
                  <c:v>April 2023</c:v>
                </c:pt>
                <c:pt idx="40">
                  <c:v>May 2023</c:v>
                </c:pt>
                <c:pt idx="41">
                  <c:v>June 2023</c:v>
                </c:pt>
                <c:pt idx="42">
                  <c:v>July 2023</c:v>
                </c:pt>
                <c:pt idx="43">
                  <c:v>August 2023</c:v>
                </c:pt>
                <c:pt idx="44">
                  <c:v>September 2023</c:v>
                </c:pt>
                <c:pt idx="45">
                  <c:v>October 2023</c:v>
                </c:pt>
                <c:pt idx="46">
                  <c:v>November 2023</c:v>
                </c:pt>
                <c:pt idx="47">
                  <c:v>December 2023</c:v>
                </c:pt>
                <c:pt idx="48">
                  <c:v>January 2024</c:v>
                </c:pt>
                <c:pt idx="49">
                  <c:v>February 2024</c:v>
                </c:pt>
                <c:pt idx="50">
                  <c:v>March 2024</c:v>
                </c:pt>
              </c:strCache>
            </c:strRef>
          </c:cat>
          <c:val>
            <c:numRef>
              <c:f>Sheet4!$B$2:$B$52</c:f>
              <c:numCache>
                <c:formatCode>General</c:formatCode>
                <c:ptCount val="5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6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6</c:v>
                </c:pt>
                <c:pt idx="27">
                  <c:v>12</c:v>
                </c:pt>
                <c:pt idx="28">
                  <c:v>8</c:v>
                </c:pt>
                <c:pt idx="29">
                  <c:v>5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11</c:v>
                </c:pt>
                <c:pt idx="35">
                  <c:v>18</c:v>
                </c:pt>
                <c:pt idx="36">
                  <c:v>9</c:v>
                </c:pt>
                <c:pt idx="37">
                  <c:v>14</c:v>
                </c:pt>
                <c:pt idx="38">
                  <c:v>5</c:v>
                </c:pt>
                <c:pt idx="39">
                  <c:v>9</c:v>
                </c:pt>
                <c:pt idx="40">
                  <c:v>6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3</c:v>
                </c:pt>
                <c:pt idx="47">
                  <c:v>10</c:v>
                </c:pt>
                <c:pt idx="48">
                  <c:v>7</c:v>
                </c:pt>
                <c:pt idx="49">
                  <c:v>9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0-C14C-BA38-954AC2C73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tx>
            <c:v>COVID-19 Infections</c:v>
          </c:tx>
          <c:spPr>
            <a:ln w="730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170</c:v>
                </c:pt>
                <c:pt idx="3">
                  <c:v>525</c:v>
                </c:pt>
                <c:pt idx="4">
                  <c:v>784</c:v>
                </c:pt>
                <c:pt idx="5">
                  <c:v>646</c:v>
                </c:pt>
                <c:pt idx="6">
                  <c:v>1548</c:v>
                </c:pt>
                <c:pt idx="7">
                  <c:v>1208</c:v>
                </c:pt>
                <c:pt idx="8">
                  <c:v>1674</c:v>
                </c:pt>
                <c:pt idx="9">
                  <c:v>5703</c:v>
                </c:pt>
                <c:pt idx="10">
                  <c:v>15545</c:v>
                </c:pt>
                <c:pt idx="11">
                  <c:v>10112</c:v>
                </c:pt>
                <c:pt idx="12">
                  <c:v>7416</c:v>
                </c:pt>
                <c:pt idx="13">
                  <c:v>4966</c:v>
                </c:pt>
                <c:pt idx="14">
                  <c:v>5503</c:v>
                </c:pt>
                <c:pt idx="15">
                  <c:v>10152</c:v>
                </c:pt>
                <c:pt idx="16">
                  <c:v>5667</c:v>
                </c:pt>
                <c:pt idx="17">
                  <c:v>1654</c:v>
                </c:pt>
                <c:pt idx="18">
                  <c:v>3093</c:v>
                </c:pt>
                <c:pt idx="19">
                  <c:v>9702</c:v>
                </c:pt>
                <c:pt idx="20">
                  <c:v>13058</c:v>
                </c:pt>
                <c:pt idx="21">
                  <c:v>15899</c:v>
                </c:pt>
                <c:pt idx="22">
                  <c:v>19892</c:v>
                </c:pt>
                <c:pt idx="23">
                  <c:v>22346</c:v>
                </c:pt>
                <c:pt idx="24">
                  <c:v>73785</c:v>
                </c:pt>
                <c:pt idx="25">
                  <c:v>7200</c:v>
                </c:pt>
                <c:pt idx="26">
                  <c:v>1952</c:v>
                </c:pt>
                <c:pt idx="27">
                  <c:v>2537</c:v>
                </c:pt>
                <c:pt idx="28">
                  <c:v>6504</c:v>
                </c:pt>
                <c:pt idx="29">
                  <c:v>6523</c:v>
                </c:pt>
                <c:pt idx="30">
                  <c:v>6351</c:v>
                </c:pt>
                <c:pt idx="31">
                  <c:v>4578</c:v>
                </c:pt>
                <c:pt idx="32">
                  <c:v>2066</c:v>
                </c:pt>
                <c:pt idx="33">
                  <c:v>2201</c:v>
                </c:pt>
                <c:pt idx="34">
                  <c:v>3856</c:v>
                </c:pt>
                <c:pt idx="35">
                  <c:v>2723</c:v>
                </c:pt>
                <c:pt idx="36">
                  <c:v>1462</c:v>
                </c:pt>
                <c:pt idx="37">
                  <c:v>1618</c:v>
                </c:pt>
                <c:pt idx="38">
                  <c:v>1135</c:v>
                </c:pt>
                <c:pt idx="39">
                  <c:v>734</c:v>
                </c:pt>
                <c:pt idx="40">
                  <c:v>346</c:v>
                </c:pt>
                <c:pt idx="41">
                  <c:v>166</c:v>
                </c:pt>
                <c:pt idx="42">
                  <c:v>286</c:v>
                </c:pt>
                <c:pt idx="43">
                  <c:v>1119</c:v>
                </c:pt>
                <c:pt idx="44">
                  <c:v>1282</c:v>
                </c:pt>
                <c:pt idx="45">
                  <c:v>1877</c:v>
                </c:pt>
                <c:pt idx="46">
                  <c:v>2475</c:v>
                </c:pt>
                <c:pt idx="47">
                  <c:v>2281</c:v>
                </c:pt>
                <c:pt idx="48">
                  <c:v>1692</c:v>
                </c:pt>
                <c:pt idx="49">
                  <c:v>1271</c:v>
                </c:pt>
                <c:pt idx="50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0-C14C-BA38-954AC2C73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/>
                  <a:t>Pediatric Orbital Cellulitis</a:t>
                </a:r>
                <a:r>
                  <a:rPr lang="en-US" sz="2500" baseline="0"/>
                  <a:t> Admissions in Colorado</a:t>
                </a:r>
                <a:endParaRPr lang="en-US" sz="2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/>
                  <a:t>Pediatric COVID-19</a:t>
                </a:r>
                <a:r>
                  <a:rPr lang="en-US" sz="2500" baseline="0"/>
                  <a:t> Infections in Colorado</a:t>
                </a:r>
                <a:endParaRPr lang="en-US" sz="2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RSV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D-B641-AAEC-AAA993772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Sheet4!$E$11:$E$70</c:f>
              <c:numCache>
                <c:formatCode>General</c:formatCode>
                <c:ptCount val="60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14</c:v>
                </c:pt>
                <c:pt idx="9">
                  <c:v>54</c:v>
                </c:pt>
                <c:pt idx="10">
                  <c:v>277</c:v>
                </c:pt>
                <c:pt idx="11">
                  <c:v>366</c:v>
                </c:pt>
                <c:pt idx="12">
                  <c:v>1141</c:v>
                </c:pt>
                <c:pt idx="13">
                  <c:v>1330</c:v>
                </c:pt>
                <c:pt idx="14">
                  <c:v>1263</c:v>
                </c:pt>
                <c:pt idx="15">
                  <c:v>917</c:v>
                </c:pt>
                <c:pt idx="16">
                  <c:v>207</c:v>
                </c:pt>
                <c:pt idx="17">
                  <c:v>159</c:v>
                </c:pt>
                <c:pt idx="18">
                  <c:v>92</c:v>
                </c:pt>
                <c:pt idx="19">
                  <c:v>125</c:v>
                </c:pt>
                <c:pt idx="20">
                  <c:v>95</c:v>
                </c:pt>
                <c:pt idx="21">
                  <c:v>68</c:v>
                </c:pt>
                <c:pt idx="22">
                  <c:v>93</c:v>
                </c:pt>
                <c:pt idx="23">
                  <c:v>141</c:v>
                </c:pt>
                <c:pt idx="24">
                  <c:v>1099</c:v>
                </c:pt>
                <c:pt idx="25">
                  <c:v>4194</c:v>
                </c:pt>
                <c:pt idx="26">
                  <c:v>3499</c:v>
                </c:pt>
                <c:pt idx="27">
                  <c:v>1392</c:v>
                </c:pt>
                <c:pt idx="28">
                  <c:v>511</c:v>
                </c:pt>
                <c:pt idx="29">
                  <c:v>234</c:v>
                </c:pt>
                <c:pt idx="30">
                  <c:v>90</c:v>
                </c:pt>
                <c:pt idx="31">
                  <c:v>27</c:v>
                </c:pt>
                <c:pt idx="32">
                  <c:v>13</c:v>
                </c:pt>
                <c:pt idx="33">
                  <c:v>13</c:v>
                </c:pt>
                <c:pt idx="34">
                  <c:v>28</c:v>
                </c:pt>
                <c:pt idx="35">
                  <c:v>36</c:v>
                </c:pt>
                <c:pt idx="36">
                  <c:v>153</c:v>
                </c:pt>
                <c:pt idx="37">
                  <c:v>539</c:v>
                </c:pt>
                <c:pt idx="38">
                  <c:v>2322</c:v>
                </c:pt>
                <c:pt idx="39">
                  <c:v>2689</c:v>
                </c:pt>
                <c:pt idx="40">
                  <c:v>1659</c:v>
                </c:pt>
                <c:pt idx="41">
                  <c:v>895</c:v>
                </c:pt>
                <c:pt idx="42">
                  <c:v>327</c:v>
                </c:pt>
                <c:pt idx="43">
                  <c:v>133</c:v>
                </c:pt>
                <c:pt idx="44">
                  <c:v>40</c:v>
                </c:pt>
                <c:pt idx="45">
                  <c:v>16</c:v>
                </c:pt>
                <c:pt idx="46">
                  <c:v>8</c:v>
                </c:pt>
                <c:pt idx="47">
                  <c:v>7</c:v>
                </c:pt>
                <c:pt idx="48">
                  <c:v>26</c:v>
                </c:pt>
                <c:pt idx="49">
                  <c:v>148</c:v>
                </c:pt>
                <c:pt idx="50">
                  <c:v>602</c:v>
                </c:pt>
                <c:pt idx="51">
                  <c:v>1838</c:v>
                </c:pt>
                <c:pt idx="52">
                  <c:v>2597</c:v>
                </c:pt>
                <c:pt idx="53">
                  <c:v>1846</c:v>
                </c:pt>
                <c:pt idx="54">
                  <c:v>612</c:v>
                </c:pt>
                <c:pt idx="55">
                  <c:v>119</c:v>
                </c:pt>
                <c:pt idx="56">
                  <c:v>30</c:v>
                </c:pt>
                <c:pt idx="57">
                  <c:v>17</c:v>
                </c:pt>
                <c:pt idx="58">
                  <c:v>6</c:v>
                </c:pt>
                <c:pt idx="5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D-B641-AAEC-AAA993772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Adeno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F-7641-8CFD-5DD294059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Sheet4!$G$11:$G$70</c:f>
              <c:numCache>
                <c:formatCode>General</c:formatCode>
                <c:ptCount val="60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15</c:v>
                </c:pt>
                <c:pt idx="7">
                  <c:v>16</c:v>
                </c:pt>
                <c:pt idx="8">
                  <c:v>36</c:v>
                </c:pt>
                <c:pt idx="9">
                  <c:v>37</c:v>
                </c:pt>
                <c:pt idx="10">
                  <c:v>60</c:v>
                </c:pt>
                <c:pt idx="11">
                  <c:v>74</c:v>
                </c:pt>
                <c:pt idx="12">
                  <c:v>93</c:v>
                </c:pt>
                <c:pt idx="13">
                  <c:v>67</c:v>
                </c:pt>
                <c:pt idx="14">
                  <c:v>103</c:v>
                </c:pt>
                <c:pt idx="15">
                  <c:v>101</c:v>
                </c:pt>
                <c:pt idx="16">
                  <c:v>79</c:v>
                </c:pt>
                <c:pt idx="17">
                  <c:v>51</c:v>
                </c:pt>
                <c:pt idx="18">
                  <c:v>49</c:v>
                </c:pt>
                <c:pt idx="19">
                  <c:v>61</c:v>
                </c:pt>
                <c:pt idx="20">
                  <c:v>63</c:v>
                </c:pt>
                <c:pt idx="21">
                  <c:v>47</c:v>
                </c:pt>
                <c:pt idx="22">
                  <c:v>31</c:v>
                </c:pt>
                <c:pt idx="23">
                  <c:v>57</c:v>
                </c:pt>
                <c:pt idx="24">
                  <c:v>136</c:v>
                </c:pt>
                <c:pt idx="25">
                  <c:v>192</c:v>
                </c:pt>
                <c:pt idx="26">
                  <c:v>152</c:v>
                </c:pt>
                <c:pt idx="27">
                  <c:v>145</c:v>
                </c:pt>
                <c:pt idx="28">
                  <c:v>155</c:v>
                </c:pt>
                <c:pt idx="29">
                  <c:v>219</c:v>
                </c:pt>
                <c:pt idx="30">
                  <c:v>208</c:v>
                </c:pt>
                <c:pt idx="31">
                  <c:v>184</c:v>
                </c:pt>
                <c:pt idx="32">
                  <c:v>193</c:v>
                </c:pt>
                <c:pt idx="33">
                  <c:v>145</c:v>
                </c:pt>
                <c:pt idx="34">
                  <c:v>134</c:v>
                </c:pt>
                <c:pt idx="35">
                  <c:v>96</c:v>
                </c:pt>
                <c:pt idx="36">
                  <c:v>132</c:v>
                </c:pt>
                <c:pt idx="37">
                  <c:v>142</c:v>
                </c:pt>
                <c:pt idx="38">
                  <c:v>158</c:v>
                </c:pt>
                <c:pt idx="39">
                  <c:v>131</c:v>
                </c:pt>
                <c:pt idx="40">
                  <c:v>92</c:v>
                </c:pt>
                <c:pt idx="41">
                  <c:v>121</c:v>
                </c:pt>
                <c:pt idx="42">
                  <c:v>150</c:v>
                </c:pt>
                <c:pt idx="43">
                  <c:v>135</c:v>
                </c:pt>
                <c:pt idx="44">
                  <c:v>131</c:v>
                </c:pt>
                <c:pt idx="45">
                  <c:v>56</c:v>
                </c:pt>
                <c:pt idx="46">
                  <c:v>60</c:v>
                </c:pt>
                <c:pt idx="47">
                  <c:v>67</c:v>
                </c:pt>
                <c:pt idx="48">
                  <c:v>92</c:v>
                </c:pt>
                <c:pt idx="49">
                  <c:v>117</c:v>
                </c:pt>
                <c:pt idx="50">
                  <c:v>133</c:v>
                </c:pt>
                <c:pt idx="51">
                  <c:v>118</c:v>
                </c:pt>
                <c:pt idx="52">
                  <c:v>96</c:v>
                </c:pt>
                <c:pt idx="53">
                  <c:v>146</c:v>
                </c:pt>
                <c:pt idx="54">
                  <c:v>125</c:v>
                </c:pt>
                <c:pt idx="55">
                  <c:v>120</c:v>
                </c:pt>
                <c:pt idx="56">
                  <c:v>65</c:v>
                </c:pt>
                <c:pt idx="57">
                  <c:v>44</c:v>
                </c:pt>
                <c:pt idx="58">
                  <c:v>38</c:v>
                </c:pt>
                <c:pt idx="5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F-7641-8CFD-5DD294059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7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Respiratory Viruses without Correlation with Orbital Cellulitis Admissions among Children in  Colorado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Orbital Cellulitis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Sheet4!$A$11:$A$70</c:f>
              <c:strCache>
                <c:ptCount val="60"/>
                <c:pt idx="0">
                  <c:v>October 2020</c:v>
                </c:pt>
                <c:pt idx="1">
                  <c:v>November 2020</c:v>
                </c:pt>
                <c:pt idx="2">
                  <c:v>December 2020</c:v>
                </c:pt>
                <c:pt idx="3">
                  <c:v>January 2021</c:v>
                </c:pt>
                <c:pt idx="4">
                  <c:v>February 2021</c:v>
                </c:pt>
                <c:pt idx="5">
                  <c:v>March 2021</c:v>
                </c:pt>
                <c:pt idx="6">
                  <c:v>April 2021</c:v>
                </c:pt>
                <c:pt idx="7">
                  <c:v>May 2021</c:v>
                </c:pt>
                <c:pt idx="8">
                  <c:v>June 2021</c:v>
                </c:pt>
                <c:pt idx="9">
                  <c:v>July 2021</c:v>
                </c:pt>
                <c:pt idx="10">
                  <c:v>August 2021</c:v>
                </c:pt>
                <c:pt idx="11">
                  <c:v>September 2021</c:v>
                </c:pt>
                <c:pt idx="12">
                  <c:v>October 2021</c:v>
                </c:pt>
                <c:pt idx="13">
                  <c:v>November 2021</c:v>
                </c:pt>
                <c:pt idx="14">
                  <c:v>December 2021</c:v>
                </c:pt>
                <c:pt idx="15">
                  <c:v>January 2022</c:v>
                </c:pt>
                <c:pt idx="16">
                  <c:v>February 2022</c:v>
                </c:pt>
                <c:pt idx="17">
                  <c:v>March 2022</c:v>
                </c:pt>
                <c:pt idx="18">
                  <c:v>April 2022</c:v>
                </c:pt>
                <c:pt idx="19">
                  <c:v>May 2022</c:v>
                </c:pt>
                <c:pt idx="20">
                  <c:v>June 2022</c:v>
                </c:pt>
                <c:pt idx="21">
                  <c:v>July 2022</c:v>
                </c:pt>
                <c:pt idx="22">
                  <c:v>August 2022</c:v>
                </c:pt>
                <c:pt idx="23">
                  <c:v>September 2022</c:v>
                </c:pt>
                <c:pt idx="24">
                  <c:v>October 2022</c:v>
                </c:pt>
                <c:pt idx="25">
                  <c:v>November 2022</c:v>
                </c:pt>
                <c:pt idx="26">
                  <c:v>December 2022</c:v>
                </c:pt>
                <c:pt idx="27">
                  <c:v>January 2023</c:v>
                </c:pt>
                <c:pt idx="28">
                  <c:v>February 2023</c:v>
                </c:pt>
                <c:pt idx="29">
                  <c:v>March 2023</c:v>
                </c:pt>
                <c:pt idx="30">
                  <c:v>April 2023</c:v>
                </c:pt>
                <c:pt idx="31">
                  <c:v>May 2023</c:v>
                </c:pt>
                <c:pt idx="32">
                  <c:v>June 2023</c:v>
                </c:pt>
                <c:pt idx="33">
                  <c:v>July 2023</c:v>
                </c:pt>
                <c:pt idx="34">
                  <c:v>August 2023</c:v>
                </c:pt>
                <c:pt idx="35">
                  <c:v>September 2023</c:v>
                </c:pt>
                <c:pt idx="36">
                  <c:v>October 2023</c:v>
                </c:pt>
                <c:pt idx="37">
                  <c:v>November 2023</c:v>
                </c:pt>
                <c:pt idx="38">
                  <c:v>December 2023</c:v>
                </c:pt>
                <c:pt idx="39">
                  <c:v>January 2024</c:v>
                </c:pt>
                <c:pt idx="40">
                  <c:v>February 2024</c:v>
                </c:pt>
                <c:pt idx="41">
                  <c:v>March 2024</c:v>
                </c:pt>
                <c:pt idx="42">
                  <c:v>Apr-24</c:v>
                </c:pt>
                <c:pt idx="43">
                  <c:v>May-24</c:v>
                </c:pt>
                <c:pt idx="44">
                  <c:v>Jun-24</c:v>
                </c:pt>
                <c:pt idx="45">
                  <c:v>Jul-24</c:v>
                </c:pt>
                <c:pt idx="46">
                  <c:v>Aug-24</c:v>
                </c:pt>
                <c:pt idx="47">
                  <c:v>Sep-24</c:v>
                </c:pt>
                <c:pt idx="48">
                  <c:v>Oct-24</c:v>
                </c:pt>
                <c:pt idx="49">
                  <c:v>Nov-24</c:v>
                </c:pt>
                <c:pt idx="50">
                  <c:v>Dec-24</c:v>
                </c:pt>
                <c:pt idx="51">
                  <c:v>Jan-25</c:v>
                </c:pt>
                <c:pt idx="52">
                  <c:v>Feb-25</c:v>
                </c:pt>
                <c:pt idx="53">
                  <c:v>Mar-25</c:v>
                </c:pt>
                <c:pt idx="54">
                  <c:v>Apr-25</c:v>
                </c:pt>
                <c:pt idx="55">
                  <c:v>May-25</c:v>
                </c:pt>
                <c:pt idx="56">
                  <c:v>Jun-25</c:v>
                </c:pt>
                <c:pt idx="57">
                  <c:v>Jul-25</c:v>
                </c:pt>
                <c:pt idx="58">
                  <c:v>Aug-25</c:v>
                </c:pt>
                <c:pt idx="59">
                  <c:v>Sep-25</c:v>
                </c:pt>
              </c:strCache>
            </c:strRef>
          </c:cat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1-BA48-83B3-ACEB513A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tx>
            <c:v>HPMV</c:v>
          </c:tx>
          <c:spPr>
            <a:ln w="730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Sheet4!$I$11:$I$70</c:f>
              <c:numCache>
                <c:formatCode>General</c:formatCode>
                <c:ptCount val="6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9</c:v>
                </c:pt>
                <c:pt idx="13">
                  <c:v>11</c:v>
                </c:pt>
                <c:pt idx="14">
                  <c:v>40</c:v>
                </c:pt>
                <c:pt idx="15">
                  <c:v>117</c:v>
                </c:pt>
                <c:pt idx="16">
                  <c:v>124</c:v>
                </c:pt>
                <c:pt idx="17">
                  <c:v>141</c:v>
                </c:pt>
                <c:pt idx="18">
                  <c:v>133</c:v>
                </c:pt>
                <c:pt idx="19">
                  <c:v>119</c:v>
                </c:pt>
                <c:pt idx="20">
                  <c:v>46</c:v>
                </c:pt>
                <c:pt idx="21">
                  <c:v>11</c:v>
                </c:pt>
                <c:pt idx="22">
                  <c:v>1</c:v>
                </c:pt>
                <c:pt idx="23">
                  <c:v>6</c:v>
                </c:pt>
                <c:pt idx="24">
                  <c:v>5</c:v>
                </c:pt>
                <c:pt idx="25">
                  <c:v>26</c:v>
                </c:pt>
                <c:pt idx="26">
                  <c:v>72</c:v>
                </c:pt>
                <c:pt idx="27">
                  <c:v>133</c:v>
                </c:pt>
                <c:pt idx="28">
                  <c:v>203</c:v>
                </c:pt>
                <c:pt idx="29">
                  <c:v>570</c:v>
                </c:pt>
                <c:pt idx="30">
                  <c:v>514</c:v>
                </c:pt>
                <c:pt idx="31">
                  <c:v>210</c:v>
                </c:pt>
                <c:pt idx="32">
                  <c:v>28</c:v>
                </c:pt>
                <c:pt idx="33">
                  <c:v>12</c:v>
                </c:pt>
                <c:pt idx="34">
                  <c:v>8</c:v>
                </c:pt>
                <c:pt idx="35">
                  <c:v>2</c:v>
                </c:pt>
                <c:pt idx="36">
                  <c:v>6</c:v>
                </c:pt>
                <c:pt idx="37">
                  <c:v>18</c:v>
                </c:pt>
                <c:pt idx="38">
                  <c:v>31</c:v>
                </c:pt>
                <c:pt idx="39">
                  <c:v>61</c:v>
                </c:pt>
                <c:pt idx="40">
                  <c:v>60</c:v>
                </c:pt>
                <c:pt idx="41">
                  <c:v>218</c:v>
                </c:pt>
                <c:pt idx="42">
                  <c:v>416</c:v>
                </c:pt>
                <c:pt idx="43">
                  <c:v>437</c:v>
                </c:pt>
                <c:pt idx="44">
                  <c:v>248</c:v>
                </c:pt>
                <c:pt idx="45">
                  <c:v>37</c:v>
                </c:pt>
                <c:pt idx="46">
                  <c:v>295</c:v>
                </c:pt>
                <c:pt idx="47">
                  <c:v>4</c:v>
                </c:pt>
                <c:pt idx="48">
                  <c:v>11</c:v>
                </c:pt>
                <c:pt idx="49">
                  <c:v>16</c:v>
                </c:pt>
                <c:pt idx="50">
                  <c:v>44</c:v>
                </c:pt>
                <c:pt idx="51">
                  <c:v>111</c:v>
                </c:pt>
                <c:pt idx="52">
                  <c:v>196</c:v>
                </c:pt>
                <c:pt idx="53">
                  <c:v>391</c:v>
                </c:pt>
                <c:pt idx="54">
                  <c:v>405</c:v>
                </c:pt>
                <c:pt idx="55">
                  <c:v>297</c:v>
                </c:pt>
                <c:pt idx="56">
                  <c:v>108</c:v>
                </c:pt>
                <c:pt idx="57">
                  <c:v>46</c:v>
                </c:pt>
                <c:pt idx="58">
                  <c:v>7</c:v>
                </c:pt>
                <c:pt idx="5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1-BA48-83B3-ACEB513AEE62}"/>
            </c:ext>
          </c:extLst>
        </c:ser>
        <c:ser>
          <c:idx val="2"/>
          <c:order val="2"/>
          <c:tx>
            <c:v>Parainfluenza 2</c:v>
          </c:tx>
          <c:spPr>
            <a:ln w="730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Sheet4!$L$11:$L$70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12</c:v>
                </c:pt>
                <c:pt idx="10">
                  <c:v>29</c:v>
                </c:pt>
                <c:pt idx="11">
                  <c:v>49</c:v>
                </c:pt>
                <c:pt idx="12">
                  <c:v>51</c:v>
                </c:pt>
                <c:pt idx="13">
                  <c:v>60</c:v>
                </c:pt>
                <c:pt idx="14">
                  <c:v>32</c:v>
                </c:pt>
                <c:pt idx="15">
                  <c:v>27</c:v>
                </c:pt>
                <c:pt idx="16">
                  <c:v>11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34</c:v>
                </c:pt>
                <c:pt idx="25">
                  <c:v>25</c:v>
                </c:pt>
                <c:pt idx="26">
                  <c:v>13</c:v>
                </c:pt>
                <c:pt idx="27">
                  <c:v>10</c:v>
                </c:pt>
                <c:pt idx="28">
                  <c:v>10</c:v>
                </c:pt>
                <c:pt idx="29">
                  <c:v>44</c:v>
                </c:pt>
                <c:pt idx="30">
                  <c:v>66</c:v>
                </c:pt>
                <c:pt idx="31">
                  <c:v>67</c:v>
                </c:pt>
                <c:pt idx="32">
                  <c:v>74</c:v>
                </c:pt>
                <c:pt idx="33">
                  <c:v>37</c:v>
                </c:pt>
                <c:pt idx="34">
                  <c:v>24</c:v>
                </c:pt>
                <c:pt idx="35">
                  <c:v>14</c:v>
                </c:pt>
                <c:pt idx="36">
                  <c:v>63</c:v>
                </c:pt>
                <c:pt idx="37">
                  <c:v>53</c:v>
                </c:pt>
                <c:pt idx="38">
                  <c:v>37</c:v>
                </c:pt>
                <c:pt idx="39">
                  <c:v>15</c:v>
                </c:pt>
                <c:pt idx="40">
                  <c:v>2</c:v>
                </c:pt>
                <c:pt idx="41">
                  <c:v>7</c:v>
                </c:pt>
                <c:pt idx="42">
                  <c:v>5</c:v>
                </c:pt>
                <c:pt idx="43">
                  <c:v>3</c:v>
                </c:pt>
                <c:pt idx="44">
                  <c:v>2</c:v>
                </c:pt>
                <c:pt idx="45">
                  <c:v>4</c:v>
                </c:pt>
                <c:pt idx="46">
                  <c:v>8</c:v>
                </c:pt>
                <c:pt idx="47">
                  <c:v>11</c:v>
                </c:pt>
                <c:pt idx="48">
                  <c:v>16</c:v>
                </c:pt>
                <c:pt idx="49">
                  <c:v>10</c:v>
                </c:pt>
                <c:pt idx="50">
                  <c:v>17</c:v>
                </c:pt>
                <c:pt idx="51">
                  <c:v>12</c:v>
                </c:pt>
                <c:pt idx="52">
                  <c:v>6</c:v>
                </c:pt>
                <c:pt idx="53">
                  <c:v>13</c:v>
                </c:pt>
                <c:pt idx="54">
                  <c:v>3</c:v>
                </c:pt>
                <c:pt idx="55">
                  <c:v>11</c:v>
                </c:pt>
                <c:pt idx="56">
                  <c:v>20</c:v>
                </c:pt>
                <c:pt idx="57">
                  <c:v>19</c:v>
                </c:pt>
                <c:pt idx="58">
                  <c:v>28</c:v>
                </c:pt>
                <c:pt idx="5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1-BA48-83B3-ACEB513AEE62}"/>
            </c:ext>
          </c:extLst>
        </c:ser>
        <c:ser>
          <c:idx val="3"/>
          <c:order val="3"/>
          <c:tx>
            <c:v>Parainfluenza 3</c:v>
          </c:tx>
          <c:spPr>
            <a:ln w="730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Sheet4!$M$11:$M$70</c:f>
              <c:numCache>
                <c:formatCode>General</c:formatCode>
                <c:ptCount val="6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16</c:v>
                </c:pt>
                <c:pt idx="8">
                  <c:v>135</c:v>
                </c:pt>
                <c:pt idx="9">
                  <c:v>208</c:v>
                </c:pt>
                <c:pt idx="10">
                  <c:v>188</c:v>
                </c:pt>
                <c:pt idx="11">
                  <c:v>150</c:v>
                </c:pt>
                <c:pt idx="12">
                  <c:v>109</c:v>
                </c:pt>
                <c:pt idx="13">
                  <c:v>77</c:v>
                </c:pt>
                <c:pt idx="14">
                  <c:v>102</c:v>
                </c:pt>
                <c:pt idx="15">
                  <c:v>61</c:v>
                </c:pt>
                <c:pt idx="16">
                  <c:v>22</c:v>
                </c:pt>
                <c:pt idx="17">
                  <c:v>7</c:v>
                </c:pt>
                <c:pt idx="18">
                  <c:v>20</c:v>
                </c:pt>
                <c:pt idx="19">
                  <c:v>115</c:v>
                </c:pt>
                <c:pt idx="20">
                  <c:v>167</c:v>
                </c:pt>
                <c:pt idx="21">
                  <c:v>41</c:v>
                </c:pt>
                <c:pt idx="22">
                  <c:v>13</c:v>
                </c:pt>
                <c:pt idx="23">
                  <c:v>6</c:v>
                </c:pt>
                <c:pt idx="24">
                  <c:v>40</c:v>
                </c:pt>
                <c:pt idx="25">
                  <c:v>42</c:v>
                </c:pt>
                <c:pt idx="26">
                  <c:v>59</c:v>
                </c:pt>
                <c:pt idx="27">
                  <c:v>77</c:v>
                </c:pt>
                <c:pt idx="28">
                  <c:v>118</c:v>
                </c:pt>
                <c:pt idx="29">
                  <c:v>277</c:v>
                </c:pt>
                <c:pt idx="30">
                  <c:v>286</c:v>
                </c:pt>
                <c:pt idx="31">
                  <c:v>244</c:v>
                </c:pt>
                <c:pt idx="32">
                  <c:v>82</c:v>
                </c:pt>
                <c:pt idx="33">
                  <c:v>34</c:v>
                </c:pt>
                <c:pt idx="34">
                  <c:v>12</c:v>
                </c:pt>
                <c:pt idx="35">
                  <c:v>12</c:v>
                </c:pt>
                <c:pt idx="36">
                  <c:v>7</c:v>
                </c:pt>
                <c:pt idx="37">
                  <c:v>8</c:v>
                </c:pt>
                <c:pt idx="38">
                  <c:v>14</c:v>
                </c:pt>
                <c:pt idx="39">
                  <c:v>17</c:v>
                </c:pt>
                <c:pt idx="40">
                  <c:v>21</c:v>
                </c:pt>
                <c:pt idx="41">
                  <c:v>95</c:v>
                </c:pt>
                <c:pt idx="42">
                  <c:v>245</c:v>
                </c:pt>
                <c:pt idx="43">
                  <c:v>491</c:v>
                </c:pt>
                <c:pt idx="44">
                  <c:v>365</c:v>
                </c:pt>
                <c:pt idx="45">
                  <c:v>87</c:v>
                </c:pt>
                <c:pt idx="46">
                  <c:v>9</c:v>
                </c:pt>
                <c:pt idx="47">
                  <c:v>10</c:v>
                </c:pt>
                <c:pt idx="48">
                  <c:v>12</c:v>
                </c:pt>
                <c:pt idx="49">
                  <c:v>26</c:v>
                </c:pt>
                <c:pt idx="50">
                  <c:v>10</c:v>
                </c:pt>
                <c:pt idx="51">
                  <c:v>37</c:v>
                </c:pt>
                <c:pt idx="52">
                  <c:v>21</c:v>
                </c:pt>
                <c:pt idx="53">
                  <c:v>116</c:v>
                </c:pt>
                <c:pt idx="54">
                  <c:v>205</c:v>
                </c:pt>
                <c:pt idx="55">
                  <c:v>351</c:v>
                </c:pt>
                <c:pt idx="56">
                  <c:v>225</c:v>
                </c:pt>
                <c:pt idx="57">
                  <c:v>79</c:v>
                </c:pt>
                <c:pt idx="58">
                  <c:v>25</c:v>
                </c:pt>
                <c:pt idx="5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31-BA48-83B3-ACEB513A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/>
                  <a:t>Pedatric Orbital Cellulitis Admissions</a:t>
                </a:r>
                <a:r>
                  <a:rPr lang="en-US" sz="3000" baseline="0"/>
                  <a:t> in Colorado</a:t>
                </a:r>
                <a:endParaRPr lang="en-US" sz="3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/>
                  <a:t>Positive Viral</a:t>
                </a:r>
                <a:r>
                  <a:rPr lang="en-US" sz="3000" baseline="0"/>
                  <a:t> Tests in Colorado</a:t>
                </a:r>
                <a:endParaRPr lang="en-US" sz="3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Para1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F-B548-966C-245A7B7B8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Sheet4!$K$11:$K$70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13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9</c:v>
                </c:pt>
                <c:pt idx="24">
                  <c:v>55</c:v>
                </c:pt>
                <c:pt idx="25">
                  <c:v>157</c:v>
                </c:pt>
                <c:pt idx="26">
                  <c:v>130</c:v>
                </c:pt>
                <c:pt idx="27">
                  <c:v>61</c:v>
                </c:pt>
                <c:pt idx="28">
                  <c:v>35</c:v>
                </c:pt>
                <c:pt idx="29">
                  <c:v>47</c:v>
                </c:pt>
                <c:pt idx="30">
                  <c:v>63</c:v>
                </c:pt>
                <c:pt idx="31">
                  <c:v>40</c:v>
                </c:pt>
                <c:pt idx="32">
                  <c:v>25</c:v>
                </c:pt>
                <c:pt idx="33">
                  <c:v>10</c:v>
                </c:pt>
                <c:pt idx="34">
                  <c:v>14</c:v>
                </c:pt>
                <c:pt idx="35">
                  <c:v>32</c:v>
                </c:pt>
                <c:pt idx="36">
                  <c:v>88</c:v>
                </c:pt>
                <c:pt idx="37">
                  <c:v>111</c:v>
                </c:pt>
                <c:pt idx="38">
                  <c:v>69</c:v>
                </c:pt>
                <c:pt idx="39">
                  <c:v>47</c:v>
                </c:pt>
                <c:pt idx="40">
                  <c:v>18</c:v>
                </c:pt>
                <c:pt idx="41">
                  <c:v>17</c:v>
                </c:pt>
                <c:pt idx="42">
                  <c:v>15</c:v>
                </c:pt>
                <c:pt idx="43">
                  <c:v>25</c:v>
                </c:pt>
                <c:pt idx="44">
                  <c:v>18</c:v>
                </c:pt>
                <c:pt idx="45">
                  <c:v>9</c:v>
                </c:pt>
                <c:pt idx="46">
                  <c:v>9</c:v>
                </c:pt>
                <c:pt idx="47">
                  <c:v>17</c:v>
                </c:pt>
                <c:pt idx="48">
                  <c:v>49</c:v>
                </c:pt>
                <c:pt idx="49">
                  <c:v>103</c:v>
                </c:pt>
                <c:pt idx="50">
                  <c:v>131</c:v>
                </c:pt>
                <c:pt idx="51">
                  <c:v>73</c:v>
                </c:pt>
                <c:pt idx="52">
                  <c:v>31</c:v>
                </c:pt>
                <c:pt idx="53">
                  <c:v>17</c:v>
                </c:pt>
                <c:pt idx="54">
                  <c:v>24</c:v>
                </c:pt>
                <c:pt idx="55">
                  <c:v>43</c:v>
                </c:pt>
                <c:pt idx="56">
                  <c:v>17</c:v>
                </c:pt>
                <c:pt idx="57">
                  <c:v>11</c:v>
                </c:pt>
                <c:pt idx="58">
                  <c:v>14</c:v>
                </c:pt>
                <c:pt idx="5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EF-B548-966C-245A7B7B8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Para2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1-3948-BE02-3256692D1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Sheet4!$L$11:$L$70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12</c:v>
                </c:pt>
                <c:pt idx="10">
                  <c:v>29</c:v>
                </c:pt>
                <c:pt idx="11">
                  <c:v>49</c:v>
                </c:pt>
                <c:pt idx="12">
                  <c:v>51</c:v>
                </c:pt>
                <c:pt idx="13">
                  <c:v>60</c:v>
                </c:pt>
                <c:pt idx="14">
                  <c:v>32</c:v>
                </c:pt>
                <c:pt idx="15">
                  <c:v>27</c:v>
                </c:pt>
                <c:pt idx="16">
                  <c:v>11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34</c:v>
                </c:pt>
                <c:pt idx="25">
                  <c:v>25</c:v>
                </c:pt>
                <c:pt idx="26">
                  <c:v>13</c:v>
                </c:pt>
                <c:pt idx="27">
                  <c:v>10</c:v>
                </c:pt>
                <c:pt idx="28">
                  <c:v>10</c:v>
                </c:pt>
                <c:pt idx="29">
                  <c:v>44</c:v>
                </c:pt>
                <c:pt idx="30">
                  <c:v>66</c:v>
                </c:pt>
                <c:pt idx="31">
                  <c:v>67</c:v>
                </c:pt>
                <c:pt idx="32">
                  <c:v>74</c:v>
                </c:pt>
                <c:pt idx="33">
                  <c:v>37</c:v>
                </c:pt>
                <c:pt idx="34">
                  <c:v>24</c:v>
                </c:pt>
                <c:pt idx="35">
                  <c:v>14</c:v>
                </c:pt>
                <c:pt idx="36">
                  <c:v>63</c:v>
                </c:pt>
                <c:pt idx="37">
                  <c:v>53</c:v>
                </c:pt>
                <c:pt idx="38">
                  <c:v>37</c:v>
                </c:pt>
                <c:pt idx="39">
                  <c:v>15</c:v>
                </c:pt>
                <c:pt idx="40">
                  <c:v>2</c:v>
                </c:pt>
                <c:pt idx="41">
                  <c:v>7</c:v>
                </c:pt>
                <c:pt idx="42">
                  <c:v>5</c:v>
                </c:pt>
                <c:pt idx="43">
                  <c:v>3</c:v>
                </c:pt>
                <c:pt idx="44">
                  <c:v>2</c:v>
                </c:pt>
                <c:pt idx="45">
                  <c:v>4</c:v>
                </c:pt>
                <c:pt idx="46">
                  <c:v>8</c:v>
                </c:pt>
                <c:pt idx="47">
                  <c:v>11</c:v>
                </c:pt>
                <c:pt idx="48">
                  <c:v>16</c:v>
                </c:pt>
                <c:pt idx="49">
                  <c:v>10</c:v>
                </c:pt>
                <c:pt idx="50">
                  <c:v>17</c:v>
                </c:pt>
                <c:pt idx="51">
                  <c:v>12</c:v>
                </c:pt>
                <c:pt idx="52">
                  <c:v>6</c:v>
                </c:pt>
                <c:pt idx="53">
                  <c:v>13</c:v>
                </c:pt>
                <c:pt idx="54">
                  <c:v>3</c:v>
                </c:pt>
                <c:pt idx="55">
                  <c:v>11</c:v>
                </c:pt>
                <c:pt idx="56">
                  <c:v>20</c:v>
                </c:pt>
                <c:pt idx="57">
                  <c:v>19</c:v>
                </c:pt>
                <c:pt idx="58">
                  <c:v>28</c:v>
                </c:pt>
                <c:pt idx="5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1-3948-BE02-3256692D1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Para3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E-2A4A-B1A4-F9A17AEE4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Sheet4!$M$11:$M$70</c:f>
              <c:numCache>
                <c:formatCode>General</c:formatCode>
                <c:ptCount val="6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16</c:v>
                </c:pt>
                <c:pt idx="8">
                  <c:v>135</c:v>
                </c:pt>
                <c:pt idx="9">
                  <c:v>208</c:v>
                </c:pt>
                <c:pt idx="10">
                  <c:v>188</c:v>
                </c:pt>
                <c:pt idx="11">
                  <c:v>150</c:v>
                </c:pt>
                <c:pt idx="12">
                  <c:v>109</c:v>
                </c:pt>
                <c:pt idx="13">
                  <c:v>77</c:v>
                </c:pt>
                <c:pt idx="14">
                  <c:v>102</c:v>
                </c:pt>
                <c:pt idx="15">
                  <c:v>61</c:v>
                </c:pt>
                <c:pt idx="16">
                  <c:v>22</c:v>
                </c:pt>
                <c:pt idx="17">
                  <c:v>7</c:v>
                </c:pt>
                <c:pt idx="18">
                  <c:v>20</c:v>
                </c:pt>
                <c:pt idx="19">
                  <c:v>115</c:v>
                </c:pt>
                <c:pt idx="20">
                  <c:v>167</c:v>
                </c:pt>
                <c:pt idx="21">
                  <c:v>41</c:v>
                </c:pt>
                <c:pt idx="22">
                  <c:v>13</c:v>
                </c:pt>
                <c:pt idx="23">
                  <c:v>6</c:v>
                </c:pt>
                <c:pt idx="24">
                  <c:v>40</c:v>
                </c:pt>
                <c:pt idx="25">
                  <c:v>42</c:v>
                </c:pt>
                <c:pt idx="26">
                  <c:v>59</c:v>
                </c:pt>
                <c:pt idx="27">
                  <c:v>77</c:v>
                </c:pt>
                <c:pt idx="28">
                  <c:v>118</c:v>
                </c:pt>
                <c:pt idx="29">
                  <c:v>277</c:v>
                </c:pt>
                <c:pt idx="30">
                  <c:v>286</c:v>
                </c:pt>
                <c:pt idx="31">
                  <c:v>244</c:v>
                </c:pt>
                <c:pt idx="32">
                  <c:v>82</c:v>
                </c:pt>
                <c:pt idx="33">
                  <c:v>34</c:v>
                </c:pt>
                <c:pt idx="34">
                  <c:v>12</c:v>
                </c:pt>
                <c:pt idx="35">
                  <c:v>12</c:v>
                </c:pt>
                <c:pt idx="36">
                  <c:v>7</c:v>
                </c:pt>
                <c:pt idx="37">
                  <c:v>8</c:v>
                </c:pt>
                <c:pt idx="38">
                  <c:v>14</c:v>
                </c:pt>
                <c:pt idx="39">
                  <c:v>17</c:v>
                </c:pt>
                <c:pt idx="40">
                  <c:v>21</c:v>
                </c:pt>
                <c:pt idx="41">
                  <c:v>95</c:v>
                </c:pt>
                <c:pt idx="42">
                  <c:v>245</c:v>
                </c:pt>
                <c:pt idx="43">
                  <c:v>491</c:v>
                </c:pt>
                <c:pt idx="44">
                  <c:v>365</c:v>
                </c:pt>
                <c:pt idx="45">
                  <c:v>87</c:v>
                </c:pt>
                <c:pt idx="46">
                  <c:v>9</c:v>
                </c:pt>
                <c:pt idx="47">
                  <c:v>10</c:v>
                </c:pt>
                <c:pt idx="48">
                  <c:v>12</c:v>
                </c:pt>
                <c:pt idx="49">
                  <c:v>26</c:v>
                </c:pt>
                <c:pt idx="50">
                  <c:v>10</c:v>
                </c:pt>
                <c:pt idx="51">
                  <c:v>37</c:v>
                </c:pt>
                <c:pt idx="52">
                  <c:v>21</c:v>
                </c:pt>
                <c:pt idx="53">
                  <c:v>116</c:v>
                </c:pt>
                <c:pt idx="54">
                  <c:v>205</c:v>
                </c:pt>
                <c:pt idx="55">
                  <c:v>351</c:v>
                </c:pt>
                <c:pt idx="56">
                  <c:v>225</c:v>
                </c:pt>
                <c:pt idx="57">
                  <c:v>79</c:v>
                </c:pt>
                <c:pt idx="58">
                  <c:v>25</c:v>
                </c:pt>
                <c:pt idx="5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E-2A4A-B1A4-F9A17AEE4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Para4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0-9C4B-A1BD-672730F56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Sheet4!$N$11:$N$70</c:f>
              <c:numCache>
                <c:formatCode>General</c:formatCode>
                <c:ptCount val="6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20</c:v>
                </c:pt>
                <c:pt idx="12">
                  <c:v>48</c:v>
                </c:pt>
                <c:pt idx="13">
                  <c:v>29</c:v>
                </c:pt>
                <c:pt idx="14">
                  <c:v>34</c:v>
                </c:pt>
                <c:pt idx="15">
                  <c:v>26</c:v>
                </c:pt>
                <c:pt idx="16">
                  <c:v>9</c:v>
                </c:pt>
                <c:pt idx="17">
                  <c:v>16</c:v>
                </c:pt>
                <c:pt idx="18">
                  <c:v>3</c:v>
                </c:pt>
                <c:pt idx="19">
                  <c:v>16</c:v>
                </c:pt>
                <c:pt idx="20">
                  <c:v>23</c:v>
                </c:pt>
                <c:pt idx="21">
                  <c:v>13</c:v>
                </c:pt>
                <c:pt idx="22">
                  <c:v>8</c:v>
                </c:pt>
                <c:pt idx="23">
                  <c:v>36</c:v>
                </c:pt>
                <c:pt idx="24">
                  <c:v>119</c:v>
                </c:pt>
                <c:pt idx="25">
                  <c:v>158</c:v>
                </c:pt>
                <c:pt idx="26">
                  <c:v>85</c:v>
                </c:pt>
                <c:pt idx="27">
                  <c:v>28</c:v>
                </c:pt>
                <c:pt idx="28">
                  <c:v>12</c:v>
                </c:pt>
                <c:pt idx="29">
                  <c:v>12</c:v>
                </c:pt>
                <c:pt idx="30">
                  <c:v>5</c:v>
                </c:pt>
                <c:pt idx="31">
                  <c:v>7</c:v>
                </c:pt>
                <c:pt idx="32">
                  <c:v>12</c:v>
                </c:pt>
                <c:pt idx="33">
                  <c:v>1</c:v>
                </c:pt>
                <c:pt idx="34">
                  <c:v>1</c:v>
                </c:pt>
                <c:pt idx="35">
                  <c:v>12</c:v>
                </c:pt>
                <c:pt idx="36">
                  <c:v>19</c:v>
                </c:pt>
                <c:pt idx="37">
                  <c:v>28</c:v>
                </c:pt>
                <c:pt idx="38">
                  <c:v>55</c:v>
                </c:pt>
                <c:pt idx="39">
                  <c:v>36</c:v>
                </c:pt>
                <c:pt idx="40">
                  <c:v>10</c:v>
                </c:pt>
                <c:pt idx="41">
                  <c:v>16</c:v>
                </c:pt>
                <c:pt idx="42">
                  <c:v>33</c:v>
                </c:pt>
                <c:pt idx="43">
                  <c:v>33</c:v>
                </c:pt>
                <c:pt idx="44">
                  <c:v>26</c:v>
                </c:pt>
                <c:pt idx="45">
                  <c:v>26</c:v>
                </c:pt>
                <c:pt idx="46">
                  <c:v>35</c:v>
                </c:pt>
                <c:pt idx="47">
                  <c:v>56</c:v>
                </c:pt>
                <c:pt idx="48">
                  <c:v>101</c:v>
                </c:pt>
                <c:pt idx="49">
                  <c:v>132</c:v>
                </c:pt>
                <c:pt idx="50">
                  <c:v>154</c:v>
                </c:pt>
                <c:pt idx="51">
                  <c:v>64</c:v>
                </c:pt>
                <c:pt idx="52">
                  <c:v>25</c:v>
                </c:pt>
                <c:pt idx="53">
                  <c:v>18</c:v>
                </c:pt>
                <c:pt idx="54">
                  <c:v>8</c:v>
                </c:pt>
                <c:pt idx="55">
                  <c:v>1</c:v>
                </c:pt>
                <c:pt idx="56">
                  <c:v>9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0-9C4B-A1BD-672730F56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RV/EV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3-D14F-BCB5-5300D76F2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Sheet4!$O$11:$O$70</c:f>
              <c:numCache>
                <c:formatCode>General</c:formatCode>
                <c:ptCount val="60"/>
                <c:pt idx="0">
                  <c:v>203</c:v>
                </c:pt>
                <c:pt idx="1">
                  <c:v>307</c:v>
                </c:pt>
                <c:pt idx="2">
                  <c:v>152</c:v>
                </c:pt>
                <c:pt idx="3">
                  <c:v>143</c:v>
                </c:pt>
                <c:pt idx="4">
                  <c:v>153</c:v>
                </c:pt>
                <c:pt idx="5">
                  <c:v>118</c:v>
                </c:pt>
                <c:pt idx="6">
                  <c:v>141</c:v>
                </c:pt>
                <c:pt idx="7">
                  <c:v>189</c:v>
                </c:pt>
                <c:pt idx="8">
                  <c:v>310</c:v>
                </c:pt>
                <c:pt idx="9">
                  <c:v>281</c:v>
                </c:pt>
                <c:pt idx="10">
                  <c:v>550</c:v>
                </c:pt>
                <c:pt idx="11">
                  <c:v>898</c:v>
                </c:pt>
                <c:pt idx="12">
                  <c:v>627</c:v>
                </c:pt>
                <c:pt idx="13">
                  <c:v>516</c:v>
                </c:pt>
                <c:pt idx="14">
                  <c:v>407</c:v>
                </c:pt>
                <c:pt idx="15">
                  <c:v>293</c:v>
                </c:pt>
                <c:pt idx="16">
                  <c:v>207</c:v>
                </c:pt>
                <c:pt idx="17">
                  <c:v>254</c:v>
                </c:pt>
                <c:pt idx="18">
                  <c:v>194</c:v>
                </c:pt>
                <c:pt idx="19">
                  <c:v>237</c:v>
                </c:pt>
                <c:pt idx="20">
                  <c:v>220</c:v>
                </c:pt>
                <c:pt idx="21">
                  <c:v>139</c:v>
                </c:pt>
                <c:pt idx="22">
                  <c:v>181</c:v>
                </c:pt>
                <c:pt idx="23">
                  <c:v>658</c:v>
                </c:pt>
                <c:pt idx="24">
                  <c:v>1005</c:v>
                </c:pt>
                <c:pt idx="25">
                  <c:v>1082</c:v>
                </c:pt>
                <c:pt idx="26">
                  <c:v>671</c:v>
                </c:pt>
                <c:pt idx="27">
                  <c:v>506</c:v>
                </c:pt>
                <c:pt idx="28">
                  <c:v>645</c:v>
                </c:pt>
                <c:pt idx="29">
                  <c:v>666</c:v>
                </c:pt>
                <c:pt idx="30">
                  <c:v>762</c:v>
                </c:pt>
                <c:pt idx="31">
                  <c:v>866</c:v>
                </c:pt>
                <c:pt idx="32">
                  <c:v>646</c:v>
                </c:pt>
                <c:pt idx="33">
                  <c:v>385</c:v>
                </c:pt>
                <c:pt idx="34">
                  <c:v>361</c:v>
                </c:pt>
                <c:pt idx="35">
                  <c:v>1004</c:v>
                </c:pt>
                <c:pt idx="36">
                  <c:v>1039</c:v>
                </c:pt>
                <c:pt idx="37">
                  <c:v>1009</c:v>
                </c:pt>
                <c:pt idx="38">
                  <c:v>713</c:v>
                </c:pt>
                <c:pt idx="39">
                  <c:v>591</c:v>
                </c:pt>
                <c:pt idx="40">
                  <c:v>580</c:v>
                </c:pt>
                <c:pt idx="41">
                  <c:v>668</c:v>
                </c:pt>
                <c:pt idx="42">
                  <c:v>897</c:v>
                </c:pt>
                <c:pt idx="43">
                  <c:v>1065</c:v>
                </c:pt>
                <c:pt idx="44">
                  <c:v>734</c:v>
                </c:pt>
                <c:pt idx="45">
                  <c:v>366</c:v>
                </c:pt>
                <c:pt idx="46">
                  <c:v>438</c:v>
                </c:pt>
                <c:pt idx="47">
                  <c:v>1080</c:v>
                </c:pt>
                <c:pt idx="48">
                  <c:v>1093</c:v>
                </c:pt>
                <c:pt idx="49">
                  <c:v>1054</c:v>
                </c:pt>
                <c:pt idx="50">
                  <c:v>1027</c:v>
                </c:pt>
                <c:pt idx="51">
                  <c:v>680</c:v>
                </c:pt>
                <c:pt idx="52">
                  <c:v>565</c:v>
                </c:pt>
                <c:pt idx="53">
                  <c:v>773</c:v>
                </c:pt>
                <c:pt idx="54">
                  <c:v>766</c:v>
                </c:pt>
                <c:pt idx="55">
                  <c:v>888</c:v>
                </c:pt>
                <c:pt idx="56">
                  <c:v>588</c:v>
                </c:pt>
                <c:pt idx="57">
                  <c:v>341</c:v>
                </c:pt>
                <c:pt idx="58">
                  <c:v>430</c:v>
                </c:pt>
                <c:pt idx="59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3-D14F-BCB5-5300D76F2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Other Corona and 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5-1446-B547-901F230F9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Sheet4!$P$11:$P$70</c:f>
              <c:numCache>
                <c:formatCode>General</c:formatCode>
                <c:ptCount val="60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25</c:v>
                </c:pt>
                <c:pt idx="7">
                  <c:v>34</c:v>
                </c:pt>
                <c:pt idx="8">
                  <c:v>77</c:v>
                </c:pt>
                <c:pt idx="9">
                  <c:v>60</c:v>
                </c:pt>
                <c:pt idx="10">
                  <c:v>60</c:v>
                </c:pt>
                <c:pt idx="11">
                  <c:v>58</c:v>
                </c:pt>
                <c:pt idx="12">
                  <c:v>44</c:v>
                </c:pt>
                <c:pt idx="13">
                  <c:v>64</c:v>
                </c:pt>
                <c:pt idx="14">
                  <c:v>110</c:v>
                </c:pt>
                <c:pt idx="15">
                  <c:v>115</c:v>
                </c:pt>
                <c:pt idx="16">
                  <c:v>49</c:v>
                </c:pt>
                <c:pt idx="17">
                  <c:v>65</c:v>
                </c:pt>
                <c:pt idx="18">
                  <c:v>77</c:v>
                </c:pt>
                <c:pt idx="19">
                  <c:v>94</c:v>
                </c:pt>
                <c:pt idx="20">
                  <c:v>73</c:v>
                </c:pt>
                <c:pt idx="21">
                  <c:v>13</c:v>
                </c:pt>
                <c:pt idx="22">
                  <c:v>3</c:v>
                </c:pt>
                <c:pt idx="23">
                  <c:v>6</c:v>
                </c:pt>
                <c:pt idx="24">
                  <c:v>20</c:v>
                </c:pt>
                <c:pt idx="25">
                  <c:v>40</c:v>
                </c:pt>
                <c:pt idx="26">
                  <c:v>212</c:v>
                </c:pt>
                <c:pt idx="27">
                  <c:v>277</c:v>
                </c:pt>
                <c:pt idx="28">
                  <c:v>331</c:v>
                </c:pt>
                <c:pt idx="29">
                  <c:v>454</c:v>
                </c:pt>
                <c:pt idx="30">
                  <c:v>204</c:v>
                </c:pt>
                <c:pt idx="31">
                  <c:v>92</c:v>
                </c:pt>
                <c:pt idx="32">
                  <c:v>28</c:v>
                </c:pt>
                <c:pt idx="33">
                  <c:v>14</c:v>
                </c:pt>
                <c:pt idx="34">
                  <c:v>21</c:v>
                </c:pt>
                <c:pt idx="35">
                  <c:v>9</c:v>
                </c:pt>
                <c:pt idx="36">
                  <c:v>33</c:v>
                </c:pt>
                <c:pt idx="37">
                  <c:v>48</c:v>
                </c:pt>
                <c:pt idx="38">
                  <c:v>139</c:v>
                </c:pt>
                <c:pt idx="39">
                  <c:v>266</c:v>
                </c:pt>
                <c:pt idx="40">
                  <c:v>386</c:v>
                </c:pt>
                <c:pt idx="41">
                  <c:v>488</c:v>
                </c:pt>
                <c:pt idx="42">
                  <c:v>255</c:v>
                </c:pt>
                <c:pt idx="43">
                  <c:v>120</c:v>
                </c:pt>
                <c:pt idx="44">
                  <c:v>60</c:v>
                </c:pt>
                <c:pt idx="45">
                  <c:v>22</c:v>
                </c:pt>
                <c:pt idx="46">
                  <c:v>13</c:v>
                </c:pt>
                <c:pt idx="47">
                  <c:v>22</c:v>
                </c:pt>
                <c:pt idx="48">
                  <c:v>23</c:v>
                </c:pt>
                <c:pt idx="49">
                  <c:v>77</c:v>
                </c:pt>
                <c:pt idx="50">
                  <c:v>321</c:v>
                </c:pt>
                <c:pt idx="51">
                  <c:v>500</c:v>
                </c:pt>
                <c:pt idx="52">
                  <c:v>470</c:v>
                </c:pt>
                <c:pt idx="53">
                  <c:v>443</c:v>
                </c:pt>
                <c:pt idx="54">
                  <c:v>208</c:v>
                </c:pt>
                <c:pt idx="55">
                  <c:v>72</c:v>
                </c:pt>
                <c:pt idx="56">
                  <c:v>46</c:v>
                </c:pt>
                <c:pt idx="57">
                  <c:v>16</c:v>
                </c:pt>
                <c:pt idx="58">
                  <c:v>8</c:v>
                </c:pt>
                <c:pt idx="5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5-1446-B547-901F230F9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700" baseline="0"/>
              <a:t>Respiratory Viruses with Correlation with Orbital Cellulitis Admissions among Children in Colorado</a:t>
            </a:r>
            <a:endParaRPr lang="en-US" sz="47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Orbital Cellulitis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Sheet4!$A$11:$A$70</c:f>
              <c:strCache>
                <c:ptCount val="60"/>
                <c:pt idx="0">
                  <c:v>October 2020</c:v>
                </c:pt>
                <c:pt idx="1">
                  <c:v>November 2020</c:v>
                </c:pt>
                <c:pt idx="2">
                  <c:v>December 2020</c:v>
                </c:pt>
                <c:pt idx="3">
                  <c:v>January 2021</c:v>
                </c:pt>
                <c:pt idx="4">
                  <c:v>February 2021</c:v>
                </c:pt>
                <c:pt idx="5">
                  <c:v>March 2021</c:v>
                </c:pt>
                <c:pt idx="6">
                  <c:v>April 2021</c:v>
                </c:pt>
                <c:pt idx="7">
                  <c:v>May 2021</c:v>
                </c:pt>
                <c:pt idx="8">
                  <c:v>June 2021</c:v>
                </c:pt>
                <c:pt idx="9">
                  <c:v>July 2021</c:v>
                </c:pt>
                <c:pt idx="10">
                  <c:v>August 2021</c:v>
                </c:pt>
                <c:pt idx="11">
                  <c:v>September 2021</c:v>
                </c:pt>
                <c:pt idx="12">
                  <c:v>October 2021</c:v>
                </c:pt>
                <c:pt idx="13">
                  <c:v>November 2021</c:v>
                </c:pt>
                <c:pt idx="14">
                  <c:v>December 2021</c:v>
                </c:pt>
                <c:pt idx="15">
                  <c:v>January 2022</c:v>
                </c:pt>
                <c:pt idx="16">
                  <c:v>February 2022</c:v>
                </c:pt>
                <c:pt idx="17">
                  <c:v>March 2022</c:v>
                </c:pt>
                <c:pt idx="18">
                  <c:v>April 2022</c:v>
                </c:pt>
                <c:pt idx="19">
                  <c:v>May 2022</c:v>
                </c:pt>
                <c:pt idx="20">
                  <c:v>June 2022</c:v>
                </c:pt>
                <c:pt idx="21">
                  <c:v>July 2022</c:v>
                </c:pt>
                <c:pt idx="22">
                  <c:v>August 2022</c:v>
                </c:pt>
                <c:pt idx="23">
                  <c:v>September 2022</c:v>
                </c:pt>
                <c:pt idx="24">
                  <c:v>October 2022</c:v>
                </c:pt>
                <c:pt idx="25">
                  <c:v>November 2022</c:v>
                </c:pt>
                <c:pt idx="26">
                  <c:v>December 2022</c:v>
                </c:pt>
                <c:pt idx="27">
                  <c:v>January 2023</c:v>
                </c:pt>
                <c:pt idx="28">
                  <c:v>February 2023</c:v>
                </c:pt>
                <c:pt idx="29">
                  <c:v>March 2023</c:v>
                </c:pt>
                <c:pt idx="30">
                  <c:v>April 2023</c:v>
                </c:pt>
                <c:pt idx="31">
                  <c:v>May 2023</c:v>
                </c:pt>
                <c:pt idx="32">
                  <c:v>June 2023</c:v>
                </c:pt>
                <c:pt idx="33">
                  <c:v>July 2023</c:v>
                </c:pt>
                <c:pt idx="34">
                  <c:v>August 2023</c:v>
                </c:pt>
                <c:pt idx="35">
                  <c:v>September 2023</c:v>
                </c:pt>
                <c:pt idx="36">
                  <c:v>October 2023</c:v>
                </c:pt>
                <c:pt idx="37">
                  <c:v>November 2023</c:v>
                </c:pt>
                <c:pt idx="38">
                  <c:v>December 2023</c:v>
                </c:pt>
                <c:pt idx="39">
                  <c:v>January 2024</c:v>
                </c:pt>
                <c:pt idx="40">
                  <c:v>February 2024</c:v>
                </c:pt>
                <c:pt idx="41">
                  <c:v>March 2024</c:v>
                </c:pt>
                <c:pt idx="42">
                  <c:v>Apr-24</c:v>
                </c:pt>
                <c:pt idx="43">
                  <c:v>May-24</c:v>
                </c:pt>
                <c:pt idx="44">
                  <c:v>Jun-24</c:v>
                </c:pt>
                <c:pt idx="45">
                  <c:v>Jul-24</c:v>
                </c:pt>
                <c:pt idx="46">
                  <c:v>Aug-24</c:v>
                </c:pt>
                <c:pt idx="47">
                  <c:v>Sep-24</c:v>
                </c:pt>
                <c:pt idx="48">
                  <c:v>Oct-24</c:v>
                </c:pt>
                <c:pt idx="49">
                  <c:v>Nov-24</c:v>
                </c:pt>
                <c:pt idx="50">
                  <c:v>Dec-24</c:v>
                </c:pt>
                <c:pt idx="51">
                  <c:v>Jan-25</c:v>
                </c:pt>
                <c:pt idx="52">
                  <c:v>Feb-25</c:v>
                </c:pt>
                <c:pt idx="53">
                  <c:v>Mar-25</c:v>
                </c:pt>
                <c:pt idx="54">
                  <c:v>Apr-25</c:v>
                </c:pt>
                <c:pt idx="55">
                  <c:v>May-25</c:v>
                </c:pt>
                <c:pt idx="56">
                  <c:v>Jun-25</c:v>
                </c:pt>
                <c:pt idx="57">
                  <c:v>Jul-25</c:v>
                </c:pt>
                <c:pt idx="58">
                  <c:v>Aug-25</c:v>
                </c:pt>
                <c:pt idx="59">
                  <c:v>Sep-25</c:v>
                </c:pt>
              </c:strCache>
            </c:strRef>
          </c:cat>
          <c:val>
            <c:numRef>
              <c:f>Sheet4!$B$11:$B$70</c:f>
              <c:numCache>
                <c:formatCode>General</c:formatCode>
                <c:ptCount val="6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6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11</c:v>
                </c:pt>
                <c:pt idx="26">
                  <c:v>18</c:v>
                </c:pt>
                <c:pt idx="27">
                  <c:v>9</c:v>
                </c:pt>
                <c:pt idx="28">
                  <c:v>14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10</c:v>
                </c:pt>
                <c:pt idx="39">
                  <c:v>7</c:v>
                </c:pt>
                <c:pt idx="40">
                  <c:v>9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12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8-8849-AA0E-D4C9C10D4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tx>
            <c:v>Influenza A/B</c:v>
          </c:tx>
          <c:spPr>
            <a:ln w="730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Sheet4!$D$11:$D$70</c:f>
              <c:numCache>
                <c:formatCode>General</c:formatCode>
                <c:ptCount val="60"/>
                <c:pt idx="0">
                  <c:v>7</c:v>
                </c:pt>
                <c:pt idx="1">
                  <c:v>17</c:v>
                </c:pt>
                <c:pt idx="2">
                  <c:v>21</c:v>
                </c:pt>
                <c:pt idx="3">
                  <c:v>21</c:v>
                </c:pt>
                <c:pt idx="4">
                  <c:v>13</c:v>
                </c:pt>
                <c:pt idx="5">
                  <c:v>3</c:v>
                </c:pt>
                <c:pt idx="6">
                  <c:v>52</c:v>
                </c:pt>
                <c:pt idx="7">
                  <c:v>22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17</c:v>
                </c:pt>
                <c:pt idx="13">
                  <c:v>75</c:v>
                </c:pt>
                <c:pt idx="14">
                  <c:v>485</c:v>
                </c:pt>
                <c:pt idx="15">
                  <c:v>1496</c:v>
                </c:pt>
                <c:pt idx="16">
                  <c:v>311</c:v>
                </c:pt>
                <c:pt idx="17">
                  <c:v>664</c:v>
                </c:pt>
                <c:pt idx="18">
                  <c:v>1819.8</c:v>
                </c:pt>
                <c:pt idx="19">
                  <c:v>2225</c:v>
                </c:pt>
                <c:pt idx="20">
                  <c:v>741</c:v>
                </c:pt>
                <c:pt idx="21">
                  <c:v>48</c:v>
                </c:pt>
                <c:pt idx="22">
                  <c:v>25</c:v>
                </c:pt>
                <c:pt idx="23">
                  <c:v>30</c:v>
                </c:pt>
                <c:pt idx="24">
                  <c:v>95</c:v>
                </c:pt>
                <c:pt idx="25">
                  <c:v>3052</c:v>
                </c:pt>
                <c:pt idx="26">
                  <c:v>7063</c:v>
                </c:pt>
                <c:pt idx="27">
                  <c:v>2445</c:v>
                </c:pt>
                <c:pt idx="28">
                  <c:v>324</c:v>
                </c:pt>
                <c:pt idx="29">
                  <c:v>197</c:v>
                </c:pt>
                <c:pt idx="30">
                  <c:v>199</c:v>
                </c:pt>
                <c:pt idx="31">
                  <c:v>151</c:v>
                </c:pt>
                <c:pt idx="32">
                  <c:v>60</c:v>
                </c:pt>
                <c:pt idx="33">
                  <c:v>46</c:v>
                </c:pt>
                <c:pt idx="34">
                  <c:v>39</c:v>
                </c:pt>
                <c:pt idx="35">
                  <c:v>56</c:v>
                </c:pt>
                <c:pt idx="36">
                  <c:v>205</c:v>
                </c:pt>
                <c:pt idx="37">
                  <c:v>1162</c:v>
                </c:pt>
                <c:pt idx="38">
                  <c:v>3849</c:v>
                </c:pt>
                <c:pt idx="39">
                  <c:v>4841</c:v>
                </c:pt>
                <c:pt idx="40">
                  <c:v>2990</c:v>
                </c:pt>
                <c:pt idx="41">
                  <c:v>1837</c:v>
                </c:pt>
                <c:pt idx="42">
                  <c:v>699</c:v>
                </c:pt>
                <c:pt idx="43">
                  <c:v>346</c:v>
                </c:pt>
                <c:pt idx="44">
                  <c:v>142</c:v>
                </c:pt>
                <c:pt idx="45">
                  <c:v>74</c:v>
                </c:pt>
                <c:pt idx="46">
                  <c:v>38</c:v>
                </c:pt>
                <c:pt idx="47">
                  <c:v>45</c:v>
                </c:pt>
                <c:pt idx="48">
                  <c:v>148</c:v>
                </c:pt>
                <c:pt idx="49">
                  <c:v>374</c:v>
                </c:pt>
                <c:pt idx="50">
                  <c:v>1390</c:v>
                </c:pt>
                <c:pt idx="51">
                  <c:v>4905</c:v>
                </c:pt>
                <c:pt idx="52">
                  <c:v>6170</c:v>
                </c:pt>
                <c:pt idx="53">
                  <c:v>2585</c:v>
                </c:pt>
                <c:pt idx="54">
                  <c:v>661</c:v>
                </c:pt>
                <c:pt idx="55">
                  <c:v>531</c:v>
                </c:pt>
                <c:pt idx="56">
                  <c:v>241</c:v>
                </c:pt>
                <c:pt idx="57">
                  <c:v>52</c:v>
                </c:pt>
                <c:pt idx="58">
                  <c:v>31</c:v>
                </c:pt>
                <c:pt idx="5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8-8849-AA0E-D4C9C10D4A64}"/>
            </c:ext>
          </c:extLst>
        </c:ser>
        <c:ser>
          <c:idx val="2"/>
          <c:order val="2"/>
          <c:tx>
            <c:v>RSV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Sheet4!$E$11:$E$70</c:f>
              <c:numCache>
                <c:formatCode>General</c:formatCode>
                <c:ptCount val="60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14</c:v>
                </c:pt>
                <c:pt idx="9">
                  <c:v>54</c:v>
                </c:pt>
                <c:pt idx="10">
                  <c:v>277</c:v>
                </c:pt>
                <c:pt idx="11">
                  <c:v>366</c:v>
                </c:pt>
                <c:pt idx="12">
                  <c:v>1141</c:v>
                </c:pt>
                <c:pt idx="13">
                  <c:v>1330</c:v>
                </c:pt>
                <c:pt idx="14">
                  <c:v>1263</c:v>
                </c:pt>
                <c:pt idx="15">
                  <c:v>917</c:v>
                </c:pt>
                <c:pt idx="16">
                  <c:v>207</c:v>
                </c:pt>
                <c:pt idx="17">
                  <c:v>159</c:v>
                </c:pt>
                <c:pt idx="18">
                  <c:v>92</c:v>
                </c:pt>
                <c:pt idx="19">
                  <c:v>125</c:v>
                </c:pt>
                <c:pt idx="20">
                  <c:v>95</c:v>
                </c:pt>
                <c:pt idx="21">
                  <c:v>68</c:v>
                </c:pt>
                <c:pt idx="22">
                  <c:v>93</c:v>
                </c:pt>
                <c:pt idx="23">
                  <c:v>141</c:v>
                </c:pt>
                <c:pt idx="24">
                  <c:v>1099</c:v>
                </c:pt>
                <c:pt idx="25">
                  <c:v>4194</c:v>
                </c:pt>
                <c:pt idx="26">
                  <c:v>3499</c:v>
                </c:pt>
                <c:pt idx="27">
                  <c:v>1392</c:v>
                </c:pt>
                <c:pt idx="28">
                  <c:v>511</c:v>
                </c:pt>
                <c:pt idx="29">
                  <c:v>234</c:v>
                </c:pt>
                <c:pt idx="30">
                  <c:v>90</c:v>
                </c:pt>
                <c:pt idx="31">
                  <c:v>27</c:v>
                </c:pt>
                <c:pt idx="32">
                  <c:v>13</c:v>
                </c:pt>
                <c:pt idx="33">
                  <c:v>13</c:v>
                </c:pt>
                <c:pt idx="34">
                  <c:v>28</c:v>
                </c:pt>
                <c:pt idx="35">
                  <c:v>36</c:v>
                </c:pt>
                <c:pt idx="36">
                  <c:v>153</c:v>
                </c:pt>
                <c:pt idx="37">
                  <c:v>539</c:v>
                </c:pt>
                <c:pt idx="38">
                  <c:v>2322</c:v>
                </c:pt>
                <c:pt idx="39">
                  <c:v>2689</c:v>
                </c:pt>
                <c:pt idx="40">
                  <c:v>1659</c:v>
                </c:pt>
                <c:pt idx="41">
                  <c:v>895</c:v>
                </c:pt>
                <c:pt idx="42">
                  <c:v>327</c:v>
                </c:pt>
                <c:pt idx="43">
                  <c:v>133</c:v>
                </c:pt>
                <c:pt idx="44">
                  <c:v>40</c:v>
                </c:pt>
                <c:pt idx="45">
                  <c:v>16</c:v>
                </c:pt>
                <c:pt idx="46">
                  <c:v>8</c:v>
                </c:pt>
                <c:pt idx="47">
                  <c:v>7</c:v>
                </c:pt>
                <c:pt idx="48">
                  <c:v>26</c:v>
                </c:pt>
                <c:pt idx="49">
                  <c:v>148</c:v>
                </c:pt>
                <c:pt idx="50">
                  <c:v>602</c:v>
                </c:pt>
                <c:pt idx="51">
                  <c:v>1838</c:v>
                </c:pt>
                <c:pt idx="52">
                  <c:v>2597</c:v>
                </c:pt>
                <c:pt idx="53">
                  <c:v>1846</c:v>
                </c:pt>
                <c:pt idx="54">
                  <c:v>612</c:v>
                </c:pt>
                <c:pt idx="55">
                  <c:v>119</c:v>
                </c:pt>
                <c:pt idx="56">
                  <c:v>30</c:v>
                </c:pt>
                <c:pt idx="57">
                  <c:v>17</c:v>
                </c:pt>
                <c:pt idx="58">
                  <c:v>6</c:v>
                </c:pt>
                <c:pt idx="5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8-8849-AA0E-D4C9C10D4A64}"/>
            </c:ext>
          </c:extLst>
        </c:ser>
        <c:ser>
          <c:idx val="3"/>
          <c:order val="3"/>
          <c:tx>
            <c:v>RV/EV</c:v>
          </c:tx>
          <c:spPr>
            <a:ln w="730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Sheet4!$O$11:$O$70</c:f>
              <c:numCache>
                <c:formatCode>General</c:formatCode>
                <c:ptCount val="60"/>
                <c:pt idx="0">
                  <c:v>203</c:v>
                </c:pt>
                <c:pt idx="1">
                  <c:v>307</c:v>
                </c:pt>
                <c:pt idx="2">
                  <c:v>152</c:v>
                </c:pt>
                <c:pt idx="3">
                  <c:v>143</c:v>
                </c:pt>
                <c:pt idx="4">
                  <c:v>153</c:v>
                </c:pt>
                <c:pt idx="5">
                  <c:v>118</c:v>
                </c:pt>
                <c:pt idx="6">
                  <c:v>141</c:v>
                </c:pt>
                <c:pt idx="7">
                  <c:v>189</c:v>
                </c:pt>
                <c:pt idx="8">
                  <c:v>310</c:v>
                </c:pt>
                <c:pt idx="9">
                  <c:v>281</c:v>
                </c:pt>
                <c:pt idx="10">
                  <c:v>550</c:v>
                </c:pt>
                <c:pt idx="11">
                  <c:v>898</c:v>
                </c:pt>
                <c:pt idx="12">
                  <c:v>627</c:v>
                </c:pt>
                <c:pt idx="13">
                  <c:v>516</c:v>
                </c:pt>
                <c:pt idx="14">
                  <c:v>407</c:v>
                </c:pt>
                <c:pt idx="15">
                  <c:v>293</c:v>
                </c:pt>
                <c:pt idx="16">
                  <c:v>207</c:v>
                </c:pt>
                <c:pt idx="17">
                  <c:v>254</c:v>
                </c:pt>
                <c:pt idx="18">
                  <c:v>194</c:v>
                </c:pt>
                <c:pt idx="19">
                  <c:v>237</c:v>
                </c:pt>
                <c:pt idx="20">
                  <c:v>220</c:v>
                </c:pt>
                <c:pt idx="21">
                  <c:v>139</c:v>
                </c:pt>
                <c:pt idx="22">
                  <c:v>181</c:v>
                </c:pt>
                <c:pt idx="23">
                  <c:v>658</c:v>
                </c:pt>
                <c:pt idx="24">
                  <c:v>1005</c:v>
                </c:pt>
                <c:pt idx="25">
                  <c:v>1082</c:v>
                </c:pt>
                <c:pt idx="26">
                  <c:v>671</c:v>
                </c:pt>
                <c:pt idx="27">
                  <c:v>506</c:v>
                </c:pt>
                <c:pt idx="28">
                  <c:v>645</c:v>
                </c:pt>
                <c:pt idx="29">
                  <c:v>666</c:v>
                </c:pt>
                <c:pt idx="30">
                  <c:v>762</c:v>
                </c:pt>
                <c:pt idx="31">
                  <c:v>866</c:v>
                </c:pt>
                <c:pt idx="32">
                  <c:v>646</c:v>
                </c:pt>
                <c:pt idx="33">
                  <c:v>385</c:v>
                </c:pt>
                <c:pt idx="34">
                  <c:v>361</c:v>
                </c:pt>
                <c:pt idx="35">
                  <c:v>1004</c:v>
                </c:pt>
                <c:pt idx="36">
                  <c:v>1039</c:v>
                </c:pt>
                <c:pt idx="37">
                  <c:v>1009</c:v>
                </c:pt>
                <c:pt idx="38">
                  <c:v>713</c:v>
                </c:pt>
                <c:pt idx="39">
                  <c:v>591</c:v>
                </c:pt>
                <c:pt idx="40">
                  <c:v>580</c:v>
                </c:pt>
                <c:pt idx="41">
                  <c:v>668</c:v>
                </c:pt>
                <c:pt idx="42">
                  <c:v>897</c:v>
                </c:pt>
                <c:pt idx="43">
                  <c:v>1065</c:v>
                </c:pt>
                <c:pt idx="44">
                  <c:v>734</c:v>
                </c:pt>
                <c:pt idx="45">
                  <c:v>366</c:v>
                </c:pt>
                <c:pt idx="46">
                  <c:v>438</c:v>
                </c:pt>
                <c:pt idx="47">
                  <c:v>1080</c:v>
                </c:pt>
                <c:pt idx="48">
                  <c:v>1093</c:v>
                </c:pt>
                <c:pt idx="49">
                  <c:v>1054</c:v>
                </c:pt>
                <c:pt idx="50">
                  <c:v>1027</c:v>
                </c:pt>
                <c:pt idx="51">
                  <c:v>680</c:v>
                </c:pt>
                <c:pt idx="52">
                  <c:v>565</c:v>
                </c:pt>
                <c:pt idx="53">
                  <c:v>773</c:v>
                </c:pt>
                <c:pt idx="54">
                  <c:v>766</c:v>
                </c:pt>
                <c:pt idx="55">
                  <c:v>888</c:v>
                </c:pt>
                <c:pt idx="56">
                  <c:v>588</c:v>
                </c:pt>
                <c:pt idx="57">
                  <c:v>341</c:v>
                </c:pt>
                <c:pt idx="58">
                  <c:v>430</c:v>
                </c:pt>
                <c:pt idx="59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78-8849-AA0E-D4C9C10D4A64}"/>
            </c:ext>
          </c:extLst>
        </c:ser>
        <c:ser>
          <c:idx val="4"/>
          <c:order val="4"/>
          <c:tx>
            <c:v>Adenovirus</c:v>
          </c:tx>
          <c:spPr>
            <a:ln w="730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Sheet4!$G$11:$G$70</c:f>
              <c:numCache>
                <c:formatCode>General</c:formatCode>
                <c:ptCount val="60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15</c:v>
                </c:pt>
                <c:pt idx="7">
                  <c:v>16</c:v>
                </c:pt>
                <c:pt idx="8">
                  <c:v>36</c:v>
                </c:pt>
                <c:pt idx="9">
                  <c:v>37</c:v>
                </c:pt>
                <c:pt idx="10">
                  <c:v>60</c:v>
                </c:pt>
                <c:pt idx="11">
                  <c:v>74</c:v>
                </c:pt>
                <c:pt idx="12">
                  <c:v>93</c:v>
                </c:pt>
                <c:pt idx="13">
                  <c:v>67</c:v>
                </c:pt>
                <c:pt idx="14">
                  <c:v>103</c:v>
                </c:pt>
                <c:pt idx="15">
                  <c:v>101</c:v>
                </c:pt>
                <c:pt idx="16">
                  <c:v>79</c:v>
                </c:pt>
                <c:pt idx="17">
                  <c:v>51</c:v>
                </c:pt>
                <c:pt idx="18">
                  <c:v>49</c:v>
                </c:pt>
                <c:pt idx="19">
                  <c:v>61</c:v>
                </c:pt>
                <c:pt idx="20">
                  <c:v>63</c:v>
                </c:pt>
                <c:pt idx="21">
                  <c:v>47</c:v>
                </c:pt>
                <c:pt idx="22">
                  <c:v>31</c:v>
                </c:pt>
                <c:pt idx="23">
                  <c:v>57</c:v>
                </c:pt>
                <c:pt idx="24">
                  <c:v>136</c:v>
                </c:pt>
                <c:pt idx="25">
                  <c:v>192</c:v>
                </c:pt>
                <c:pt idx="26">
                  <c:v>152</c:v>
                </c:pt>
                <c:pt idx="27">
                  <c:v>145</c:v>
                </c:pt>
                <c:pt idx="28">
                  <c:v>155</c:v>
                </c:pt>
                <c:pt idx="29">
                  <c:v>219</c:v>
                </c:pt>
                <c:pt idx="30">
                  <c:v>208</c:v>
                </c:pt>
                <c:pt idx="31">
                  <c:v>184</c:v>
                </c:pt>
                <c:pt idx="32">
                  <c:v>193</c:v>
                </c:pt>
                <c:pt idx="33">
                  <c:v>145</c:v>
                </c:pt>
                <c:pt idx="34">
                  <c:v>134</c:v>
                </c:pt>
                <c:pt idx="35">
                  <c:v>96</c:v>
                </c:pt>
                <c:pt idx="36">
                  <c:v>132</c:v>
                </c:pt>
                <c:pt idx="37">
                  <c:v>142</c:v>
                </c:pt>
                <c:pt idx="38">
                  <c:v>158</c:v>
                </c:pt>
                <c:pt idx="39">
                  <c:v>131</c:v>
                </c:pt>
                <c:pt idx="40">
                  <c:v>92</c:v>
                </c:pt>
                <c:pt idx="41">
                  <c:v>121</c:v>
                </c:pt>
                <c:pt idx="42">
                  <c:v>150</c:v>
                </c:pt>
                <c:pt idx="43">
                  <c:v>135</c:v>
                </c:pt>
                <c:pt idx="44">
                  <c:v>131</c:v>
                </c:pt>
                <c:pt idx="45">
                  <c:v>56</c:v>
                </c:pt>
                <c:pt idx="46">
                  <c:v>60</c:v>
                </c:pt>
                <c:pt idx="47">
                  <c:v>67</c:v>
                </c:pt>
                <c:pt idx="48">
                  <c:v>92</c:v>
                </c:pt>
                <c:pt idx="49">
                  <c:v>117</c:v>
                </c:pt>
                <c:pt idx="50">
                  <c:v>133</c:v>
                </c:pt>
                <c:pt idx="51">
                  <c:v>118</c:v>
                </c:pt>
                <c:pt idx="52">
                  <c:v>96</c:v>
                </c:pt>
                <c:pt idx="53">
                  <c:v>146</c:v>
                </c:pt>
                <c:pt idx="54">
                  <c:v>125</c:v>
                </c:pt>
                <c:pt idx="55">
                  <c:v>120</c:v>
                </c:pt>
                <c:pt idx="56">
                  <c:v>65</c:v>
                </c:pt>
                <c:pt idx="57">
                  <c:v>44</c:v>
                </c:pt>
                <c:pt idx="58">
                  <c:v>38</c:v>
                </c:pt>
                <c:pt idx="5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78-8849-AA0E-D4C9C10D4A64}"/>
            </c:ext>
          </c:extLst>
        </c:ser>
        <c:ser>
          <c:idx val="5"/>
          <c:order val="5"/>
          <c:tx>
            <c:v>Coronavirus</c:v>
          </c:tx>
          <c:spPr>
            <a:ln w="730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Sheet4!$P$11:$P$70</c:f>
              <c:numCache>
                <c:formatCode>General</c:formatCode>
                <c:ptCount val="60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25</c:v>
                </c:pt>
                <c:pt idx="7">
                  <c:v>34</c:v>
                </c:pt>
                <c:pt idx="8">
                  <c:v>77</c:v>
                </c:pt>
                <c:pt idx="9">
                  <c:v>60</c:v>
                </c:pt>
                <c:pt idx="10">
                  <c:v>60</c:v>
                </c:pt>
                <c:pt idx="11">
                  <c:v>58</c:v>
                </c:pt>
                <c:pt idx="12">
                  <c:v>44</c:v>
                </c:pt>
                <c:pt idx="13">
                  <c:v>64</c:v>
                </c:pt>
                <c:pt idx="14">
                  <c:v>110</c:v>
                </c:pt>
                <c:pt idx="15">
                  <c:v>115</c:v>
                </c:pt>
                <c:pt idx="16">
                  <c:v>49</c:v>
                </c:pt>
                <c:pt idx="17">
                  <c:v>65</c:v>
                </c:pt>
                <c:pt idx="18">
                  <c:v>77</c:v>
                </c:pt>
                <c:pt idx="19">
                  <c:v>94</c:v>
                </c:pt>
                <c:pt idx="20">
                  <c:v>73</c:v>
                </c:pt>
                <c:pt idx="21">
                  <c:v>13</c:v>
                </c:pt>
                <c:pt idx="22">
                  <c:v>3</c:v>
                </c:pt>
                <c:pt idx="23">
                  <c:v>6</c:v>
                </c:pt>
                <c:pt idx="24">
                  <c:v>20</c:v>
                </c:pt>
                <c:pt idx="25">
                  <c:v>40</c:v>
                </c:pt>
                <c:pt idx="26">
                  <c:v>212</c:v>
                </c:pt>
                <c:pt idx="27">
                  <c:v>277</c:v>
                </c:pt>
                <c:pt idx="28">
                  <c:v>331</c:v>
                </c:pt>
                <c:pt idx="29">
                  <c:v>454</c:v>
                </c:pt>
                <c:pt idx="30">
                  <c:v>204</c:v>
                </c:pt>
                <c:pt idx="31">
                  <c:v>92</c:v>
                </c:pt>
                <c:pt idx="32">
                  <c:v>28</c:v>
                </c:pt>
                <c:pt idx="33">
                  <c:v>14</c:v>
                </c:pt>
                <c:pt idx="34">
                  <c:v>21</c:v>
                </c:pt>
                <c:pt idx="35">
                  <c:v>9</c:v>
                </c:pt>
                <c:pt idx="36">
                  <c:v>33</c:v>
                </c:pt>
                <c:pt idx="37">
                  <c:v>48</c:v>
                </c:pt>
                <c:pt idx="38">
                  <c:v>139</c:v>
                </c:pt>
                <c:pt idx="39">
                  <c:v>266</c:v>
                </c:pt>
                <c:pt idx="40">
                  <c:v>386</c:v>
                </c:pt>
                <c:pt idx="41">
                  <c:v>488</c:v>
                </c:pt>
                <c:pt idx="42">
                  <c:v>255</c:v>
                </c:pt>
                <c:pt idx="43">
                  <c:v>120</c:v>
                </c:pt>
                <c:pt idx="44">
                  <c:v>60</c:v>
                </c:pt>
                <c:pt idx="45">
                  <c:v>22</c:v>
                </c:pt>
                <c:pt idx="46">
                  <c:v>13</c:v>
                </c:pt>
                <c:pt idx="47">
                  <c:v>22</c:v>
                </c:pt>
                <c:pt idx="48">
                  <c:v>23</c:v>
                </c:pt>
                <c:pt idx="49">
                  <c:v>77</c:v>
                </c:pt>
                <c:pt idx="50">
                  <c:v>321</c:v>
                </c:pt>
                <c:pt idx="51">
                  <c:v>500</c:v>
                </c:pt>
                <c:pt idx="52">
                  <c:v>470</c:v>
                </c:pt>
                <c:pt idx="53">
                  <c:v>443</c:v>
                </c:pt>
                <c:pt idx="54">
                  <c:v>208</c:v>
                </c:pt>
                <c:pt idx="55">
                  <c:v>72</c:v>
                </c:pt>
                <c:pt idx="56">
                  <c:v>46</c:v>
                </c:pt>
                <c:pt idx="57">
                  <c:v>16</c:v>
                </c:pt>
                <c:pt idx="58">
                  <c:v>8</c:v>
                </c:pt>
                <c:pt idx="5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78-8849-AA0E-D4C9C10D4A64}"/>
            </c:ext>
          </c:extLst>
        </c:ser>
        <c:ser>
          <c:idx val="6"/>
          <c:order val="6"/>
          <c:tx>
            <c:v>RSV</c:v>
          </c:tx>
          <c:spPr>
            <a:ln w="730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Sheet4!$E$11:$E$70</c:f>
              <c:numCache>
                <c:formatCode>General</c:formatCode>
                <c:ptCount val="60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14</c:v>
                </c:pt>
                <c:pt idx="9">
                  <c:v>54</c:v>
                </c:pt>
                <c:pt idx="10">
                  <c:v>277</c:v>
                </c:pt>
                <c:pt idx="11">
                  <c:v>366</c:v>
                </c:pt>
                <c:pt idx="12">
                  <c:v>1141</c:v>
                </c:pt>
                <c:pt idx="13">
                  <c:v>1330</c:v>
                </c:pt>
                <c:pt idx="14">
                  <c:v>1263</c:v>
                </c:pt>
                <c:pt idx="15">
                  <c:v>917</c:v>
                </c:pt>
                <c:pt idx="16">
                  <c:v>207</c:v>
                </c:pt>
                <c:pt idx="17">
                  <c:v>159</c:v>
                </c:pt>
                <c:pt idx="18">
                  <c:v>92</c:v>
                </c:pt>
                <c:pt idx="19">
                  <c:v>125</c:v>
                </c:pt>
                <c:pt idx="20">
                  <c:v>95</c:v>
                </c:pt>
                <c:pt idx="21">
                  <c:v>68</c:v>
                </c:pt>
                <c:pt idx="22">
                  <c:v>93</c:v>
                </c:pt>
                <c:pt idx="23">
                  <c:v>141</c:v>
                </c:pt>
                <c:pt idx="24">
                  <c:v>1099</c:v>
                </c:pt>
                <c:pt idx="25">
                  <c:v>4194</c:v>
                </c:pt>
                <c:pt idx="26">
                  <c:v>3499</c:v>
                </c:pt>
                <c:pt idx="27">
                  <c:v>1392</c:v>
                </c:pt>
                <c:pt idx="28">
                  <c:v>511</c:v>
                </c:pt>
                <c:pt idx="29">
                  <c:v>234</c:v>
                </c:pt>
                <c:pt idx="30">
                  <c:v>90</c:v>
                </c:pt>
                <c:pt idx="31">
                  <c:v>27</c:v>
                </c:pt>
                <c:pt idx="32">
                  <c:v>13</c:v>
                </c:pt>
                <c:pt idx="33">
                  <c:v>13</c:v>
                </c:pt>
                <c:pt idx="34">
                  <c:v>28</c:v>
                </c:pt>
                <c:pt idx="35">
                  <c:v>36</c:v>
                </c:pt>
                <c:pt idx="36">
                  <c:v>153</c:v>
                </c:pt>
                <c:pt idx="37">
                  <c:v>539</c:v>
                </c:pt>
                <c:pt idx="38">
                  <c:v>2322</c:v>
                </c:pt>
                <c:pt idx="39">
                  <c:v>2689</c:v>
                </c:pt>
                <c:pt idx="40">
                  <c:v>1659</c:v>
                </c:pt>
                <c:pt idx="41">
                  <c:v>895</c:v>
                </c:pt>
                <c:pt idx="42">
                  <c:v>327</c:v>
                </c:pt>
                <c:pt idx="43">
                  <c:v>133</c:v>
                </c:pt>
                <c:pt idx="44">
                  <c:v>40</c:v>
                </c:pt>
                <c:pt idx="45">
                  <c:v>16</c:v>
                </c:pt>
                <c:pt idx="46">
                  <c:v>8</c:v>
                </c:pt>
                <c:pt idx="47">
                  <c:v>7</c:v>
                </c:pt>
                <c:pt idx="48">
                  <c:v>26</c:v>
                </c:pt>
                <c:pt idx="49">
                  <c:v>148</c:v>
                </c:pt>
                <c:pt idx="50">
                  <c:v>602</c:v>
                </c:pt>
                <c:pt idx="51">
                  <c:v>1838</c:v>
                </c:pt>
                <c:pt idx="52">
                  <c:v>2597</c:v>
                </c:pt>
                <c:pt idx="53">
                  <c:v>1846</c:v>
                </c:pt>
                <c:pt idx="54">
                  <c:v>612</c:v>
                </c:pt>
                <c:pt idx="55">
                  <c:v>119</c:v>
                </c:pt>
                <c:pt idx="56">
                  <c:v>30</c:v>
                </c:pt>
                <c:pt idx="57">
                  <c:v>17</c:v>
                </c:pt>
                <c:pt idx="58">
                  <c:v>6</c:v>
                </c:pt>
                <c:pt idx="5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78-8849-AA0E-D4C9C10D4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/>
                  <a:t>Orbital</a:t>
                </a:r>
                <a:r>
                  <a:rPr lang="en-US" sz="3000" baseline="0"/>
                  <a:t> Cellulitis Admissions </a:t>
                </a:r>
                <a:endParaRPr lang="en-US" sz="3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/>
                  <a:t>Positive Viral Tests in Colorado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Orbital Cellulitis and Rates of COVID-19 infection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Orbital Cellulitis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Sheet4!$A$11:$A$70</c:f>
              <c:strCache>
                <c:ptCount val="60"/>
                <c:pt idx="0">
                  <c:v>October 2020</c:v>
                </c:pt>
                <c:pt idx="1">
                  <c:v>November 2020</c:v>
                </c:pt>
                <c:pt idx="2">
                  <c:v>December 2020</c:v>
                </c:pt>
                <c:pt idx="3">
                  <c:v>January 2021</c:v>
                </c:pt>
                <c:pt idx="4">
                  <c:v>February 2021</c:v>
                </c:pt>
                <c:pt idx="5">
                  <c:v>March 2021</c:v>
                </c:pt>
                <c:pt idx="6">
                  <c:v>April 2021</c:v>
                </c:pt>
                <c:pt idx="7">
                  <c:v>May 2021</c:v>
                </c:pt>
                <c:pt idx="8">
                  <c:v>June 2021</c:v>
                </c:pt>
                <c:pt idx="9">
                  <c:v>July 2021</c:v>
                </c:pt>
                <c:pt idx="10">
                  <c:v>August 2021</c:v>
                </c:pt>
                <c:pt idx="11">
                  <c:v>September 2021</c:v>
                </c:pt>
                <c:pt idx="12">
                  <c:v>October 2021</c:v>
                </c:pt>
                <c:pt idx="13">
                  <c:v>November 2021</c:v>
                </c:pt>
                <c:pt idx="14">
                  <c:v>December 2021</c:v>
                </c:pt>
                <c:pt idx="15">
                  <c:v>January 2022</c:v>
                </c:pt>
                <c:pt idx="16">
                  <c:v>February 2022</c:v>
                </c:pt>
                <c:pt idx="17">
                  <c:v>March 2022</c:v>
                </c:pt>
                <c:pt idx="18">
                  <c:v>April 2022</c:v>
                </c:pt>
                <c:pt idx="19">
                  <c:v>May 2022</c:v>
                </c:pt>
                <c:pt idx="20">
                  <c:v>June 2022</c:v>
                </c:pt>
                <c:pt idx="21">
                  <c:v>July 2022</c:v>
                </c:pt>
                <c:pt idx="22">
                  <c:v>August 2022</c:v>
                </c:pt>
                <c:pt idx="23">
                  <c:v>September 2022</c:v>
                </c:pt>
                <c:pt idx="24">
                  <c:v>October 2022</c:v>
                </c:pt>
                <c:pt idx="25">
                  <c:v>November 2022</c:v>
                </c:pt>
                <c:pt idx="26">
                  <c:v>December 2022</c:v>
                </c:pt>
                <c:pt idx="27">
                  <c:v>January 2023</c:v>
                </c:pt>
                <c:pt idx="28">
                  <c:v>February 2023</c:v>
                </c:pt>
                <c:pt idx="29">
                  <c:v>March 2023</c:v>
                </c:pt>
                <c:pt idx="30">
                  <c:v>April 2023</c:v>
                </c:pt>
                <c:pt idx="31">
                  <c:v>May 2023</c:v>
                </c:pt>
                <c:pt idx="32">
                  <c:v>June 2023</c:v>
                </c:pt>
                <c:pt idx="33">
                  <c:v>July 2023</c:v>
                </c:pt>
                <c:pt idx="34">
                  <c:v>August 2023</c:v>
                </c:pt>
                <c:pt idx="35">
                  <c:v>September 2023</c:v>
                </c:pt>
                <c:pt idx="36">
                  <c:v>October 2023</c:v>
                </c:pt>
                <c:pt idx="37">
                  <c:v>November 2023</c:v>
                </c:pt>
                <c:pt idx="38">
                  <c:v>December 2023</c:v>
                </c:pt>
                <c:pt idx="39">
                  <c:v>January 2024</c:v>
                </c:pt>
                <c:pt idx="40">
                  <c:v>February 2024</c:v>
                </c:pt>
                <c:pt idx="41">
                  <c:v>March 2024</c:v>
                </c:pt>
                <c:pt idx="42">
                  <c:v>Apr-24</c:v>
                </c:pt>
                <c:pt idx="43">
                  <c:v>May-24</c:v>
                </c:pt>
                <c:pt idx="44">
                  <c:v>Jun-24</c:v>
                </c:pt>
                <c:pt idx="45">
                  <c:v>Jul-24</c:v>
                </c:pt>
                <c:pt idx="46">
                  <c:v>Aug-24</c:v>
                </c:pt>
                <c:pt idx="47">
                  <c:v>Sep-24</c:v>
                </c:pt>
                <c:pt idx="48">
                  <c:v>Oct-24</c:v>
                </c:pt>
                <c:pt idx="49">
                  <c:v>Nov-24</c:v>
                </c:pt>
                <c:pt idx="50">
                  <c:v>Dec-24</c:v>
                </c:pt>
                <c:pt idx="51">
                  <c:v>Jan-25</c:v>
                </c:pt>
                <c:pt idx="52">
                  <c:v>Feb-25</c:v>
                </c:pt>
                <c:pt idx="53">
                  <c:v>Mar-25</c:v>
                </c:pt>
                <c:pt idx="54">
                  <c:v>Apr-25</c:v>
                </c:pt>
                <c:pt idx="55">
                  <c:v>May-25</c:v>
                </c:pt>
                <c:pt idx="56">
                  <c:v>Jun-25</c:v>
                </c:pt>
                <c:pt idx="57">
                  <c:v>Jul-25</c:v>
                </c:pt>
                <c:pt idx="58">
                  <c:v>Aug-25</c:v>
                </c:pt>
                <c:pt idx="59">
                  <c:v>Sep-25</c:v>
                </c:pt>
              </c:strCache>
            </c:strRef>
          </c:cat>
          <c:val>
            <c:numRef>
              <c:f>'USE THIS!'!$B$2:$B$52</c:f>
              <c:numCache>
                <c:formatCode>General</c:formatCode>
                <c:ptCount val="5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6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6</c:v>
                </c:pt>
                <c:pt idx="27">
                  <c:v>12</c:v>
                </c:pt>
                <c:pt idx="28">
                  <c:v>8</c:v>
                </c:pt>
                <c:pt idx="29">
                  <c:v>5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11</c:v>
                </c:pt>
                <c:pt idx="35">
                  <c:v>18</c:v>
                </c:pt>
                <c:pt idx="36">
                  <c:v>9</c:v>
                </c:pt>
                <c:pt idx="37">
                  <c:v>14</c:v>
                </c:pt>
                <c:pt idx="38">
                  <c:v>5</c:v>
                </c:pt>
                <c:pt idx="39">
                  <c:v>9</c:v>
                </c:pt>
                <c:pt idx="40">
                  <c:v>6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3</c:v>
                </c:pt>
                <c:pt idx="47">
                  <c:v>10</c:v>
                </c:pt>
                <c:pt idx="48">
                  <c:v>7</c:v>
                </c:pt>
                <c:pt idx="49">
                  <c:v>9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3-9245-AB26-DF621513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982752"/>
        <c:axId val="389984464"/>
      </c:barChart>
      <c:lineChart>
        <c:grouping val="standard"/>
        <c:varyColors val="0"/>
        <c:ser>
          <c:idx val="1"/>
          <c:order val="1"/>
          <c:tx>
            <c:v>COVID-19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'USE THIS!'!$C$2:$C$52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170</c:v>
                </c:pt>
                <c:pt idx="3">
                  <c:v>525</c:v>
                </c:pt>
                <c:pt idx="4">
                  <c:v>784</c:v>
                </c:pt>
                <c:pt idx="5">
                  <c:v>646</c:v>
                </c:pt>
                <c:pt idx="6">
                  <c:v>1548</c:v>
                </c:pt>
                <c:pt idx="7">
                  <c:v>1208</c:v>
                </c:pt>
                <c:pt idx="8">
                  <c:v>1674</c:v>
                </c:pt>
                <c:pt idx="9">
                  <c:v>5703</c:v>
                </c:pt>
                <c:pt idx="10">
                  <c:v>15545</c:v>
                </c:pt>
                <c:pt idx="11">
                  <c:v>10112</c:v>
                </c:pt>
                <c:pt idx="12">
                  <c:v>7416</c:v>
                </c:pt>
                <c:pt idx="13">
                  <c:v>4966</c:v>
                </c:pt>
                <c:pt idx="14">
                  <c:v>5503</c:v>
                </c:pt>
                <c:pt idx="15">
                  <c:v>10152</c:v>
                </c:pt>
                <c:pt idx="16">
                  <c:v>5667</c:v>
                </c:pt>
                <c:pt idx="17">
                  <c:v>1654</c:v>
                </c:pt>
                <c:pt idx="18">
                  <c:v>3093</c:v>
                </c:pt>
                <c:pt idx="19">
                  <c:v>9702</c:v>
                </c:pt>
                <c:pt idx="20">
                  <c:v>13058</c:v>
                </c:pt>
                <c:pt idx="21">
                  <c:v>15899</c:v>
                </c:pt>
                <c:pt idx="22">
                  <c:v>19892</c:v>
                </c:pt>
                <c:pt idx="23">
                  <c:v>22346</c:v>
                </c:pt>
                <c:pt idx="24">
                  <c:v>73785</c:v>
                </c:pt>
                <c:pt idx="25">
                  <c:v>7200</c:v>
                </c:pt>
                <c:pt idx="26">
                  <c:v>1952</c:v>
                </c:pt>
                <c:pt idx="27">
                  <c:v>2537</c:v>
                </c:pt>
                <c:pt idx="28">
                  <c:v>6504</c:v>
                </c:pt>
                <c:pt idx="29">
                  <c:v>6523</c:v>
                </c:pt>
                <c:pt idx="30">
                  <c:v>6351</c:v>
                </c:pt>
                <c:pt idx="31">
                  <c:v>4578</c:v>
                </c:pt>
                <c:pt idx="32">
                  <c:v>2066</c:v>
                </c:pt>
                <c:pt idx="33">
                  <c:v>2201</c:v>
                </c:pt>
                <c:pt idx="34">
                  <c:v>3856</c:v>
                </c:pt>
                <c:pt idx="35">
                  <c:v>2723</c:v>
                </c:pt>
                <c:pt idx="36">
                  <c:v>1462</c:v>
                </c:pt>
                <c:pt idx="37">
                  <c:v>1618</c:v>
                </c:pt>
                <c:pt idx="38">
                  <c:v>1135</c:v>
                </c:pt>
                <c:pt idx="39">
                  <c:v>734</c:v>
                </c:pt>
                <c:pt idx="40">
                  <c:v>346</c:v>
                </c:pt>
                <c:pt idx="41">
                  <c:v>166</c:v>
                </c:pt>
                <c:pt idx="42">
                  <c:v>286</c:v>
                </c:pt>
                <c:pt idx="43">
                  <c:v>1119</c:v>
                </c:pt>
                <c:pt idx="44">
                  <c:v>1282</c:v>
                </c:pt>
                <c:pt idx="45">
                  <c:v>1877</c:v>
                </c:pt>
                <c:pt idx="46">
                  <c:v>2475</c:v>
                </c:pt>
                <c:pt idx="47">
                  <c:v>2281</c:v>
                </c:pt>
                <c:pt idx="48">
                  <c:v>1692</c:v>
                </c:pt>
                <c:pt idx="49">
                  <c:v>1271</c:v>
                </c:pt>
                <c:pt idx="50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3-9245-AB26-DF62151324B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113-9245-AB26-DF621513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53680"/>
        <c:axId val="1442449024"/>
      </c:lineChart>
      <c:catAx>
        <c:axId val="3899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4464"/>
        <c:crosses val="autoZero"/>
        <c:auto val="1"/>
        <c:lblAlgn val="ctr"/>
        <c:lblOffset val="100"/>
        <c:noMultiLvlLbl val="0"/>
      </c:catAx>
      <c:valAx>
        <c:axId val="389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2752"/>
        <c:crosses val="autoZero"/>
        <c:crossBetween val="between"/>
      </c:valAx>
      <c:valAx>
        <c:axId val="144244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53680"/>
        <c:crosses val="max"/>
        <c:crossBetween val="between"/>
      </c:valAx>
      <c:catAx>
        <c:axId val="1442253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4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114591</xdr:colOff>
      <xdr:row>1</xdr:row>
      <xdr:rowOff>102507</xdr:rowOff>
    </xdr:from>
    <xdr:to>
      <xdr:col>38</xdr:col>
      <xdr:colOff>512267</xdr:colOff>
      <xdr:row>27</xdr:row>
      <xdr:rowOff>45358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63C51E-A777-336A-F488-6DCB9E6E1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352185</xdr:colOff>
      <xdr:row>33</xdr:row>
      <xdr:rowOff>106723</xdr:rowOff>
    </xdr:from>
    <xdr:to>
      <xdr:col>40</xdr:col>
      <xdr:colOff>749861</xdr:colOff>
      <xdr:row>59</xdr:row>
      <xdr:rowOff>49572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2C1AA4-5093-5545-93CC-C08BD38E5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62</xdr:row>
      <xdr:rowOff>149411</xdr:rowOff>
    </xdr:from>
    <xdr:to>
      <xdr:col>46</xdr:col>
      <xdr:colOff>392340</xdr:colOff>
      <xdr:row>88</xdr:row>
      <xdr:rowOff>72251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91FC95-FF22-054B-9CA3-C3049CAB8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91</xdr:row>
      <xdr:rowOff>188098</xdr:rowOff>
    </xdr:from>
    <xdr:to>
      <xdr:col>46</xdr:col>
      <xdr:colOff>392340</xdr:colOff>
      <xdr:row>117</xdr:row>
      <xdr:rowOff>130947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DD4579-EB40-FF4E-92B0-714A5934B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45357</xdr:colOff>
      <xdr:row>118</xdr:row>
      <xdr:rowOff>45357</xdr:rowOff>
    </xdr:from>
    <xdr:to>
      <xdr:col>29</xdr:col>
      <xdr:colOff>437697</xdr:colOff>
      <xdr:row>143</xdr:row>
      <xdr:rowOff>192314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A02E30-2FC0-494B-A471-7F063C561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771071</xdr:colOff>
      <xdr:row>146</xdr:row>
      <xdr:rowOff>113393</xdr:rowOff>
    </xdr:from>
    <xdr:to>
      <xdr:col>29</xdr:col>
      <xdr:colOff>346982</xdr:colOff>
      <xdr:row>172</xdr:row>
      <xdr:rowOff>56242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EA93FB-1E61-3748-A0C4-2757140B4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-1</xdr:colOff>
      <xdr:row>175</xdr:row>
      <xdr:rowOff>136072</xdr:rowOff>
    </xdr:from>
    <xdr:to>
      <xdr:col>29</xdr:col>
      <xdr:colOff>392339</xdr:colOff>
      <xdr:row>201</xdr:row>
      <xdr:rowOff>78921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514CE0-BC83-D840-96DB-671E49F08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39833</xdr:colOff>
      <xdr:row>0</xdr:row>
      <xdr:rowOff>34976</xdr:rowOff>
    </xdr:from>
    <xdr:to>
      <xdr:col>27</xdr:col>
      <xdr:colOff>396961</xdr:colOff>
      <xdr:row>30</xdr:row>
      <xdr:rowOff>53297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2F3C7-7234-B0D2-D29D-A30791B01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770605</xdr:colOff>
      <xdr:row>0</xdr:row>
      <xdr:rowOff>3887</xdr:rowOff>
    </xdr:from>
    <xdr:to>
      <xdr:col>37</xdr:col>
      <xdr:colOff>298000</xdr:colOff>
      <xdr:row>30</xdr:row>
      <xdr:rowOff>22209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09DDF5-70EB-B04A-AC8D-F177E9D40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84667</xdr:colOff>
      <xdr:row>31</xdr:row>
      <xdr:rowOff>84667</xdr:rowOff>
    </xdr:from>
    <xdr:to>
      <xdr:col>27</xdr:col>
      <xdr:colOff>441795</xdr:colOff>
      <xdr:row>61</xdr:row>
      <xdr:rowOff>102989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2158C3-18EA-B145-87C8-573A09CAB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34</xdr:row>
      <xdr:rowOff>0</xdr:rowOff>
    </xdr:from>
    <xdr:to>
      <xdr:col>38</xdr:col>
      <xdr:colOff>357128</xdr:colOff>
      <xdr:row>64</xdr:row>
      <xdr:rowOff>18322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293ED3-7312-0C49-BE43-BAA11A639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592666</xdr:colOff>
      <xdr:row>67</xdr:row>
      <xdr:rowOff>50800</xdr:rowOff>
    </xdr:from>
    <xdr:to>
      <xdr:col>27</xdr:col>
      <xdr:colOff>120061</xdr:colOff>
      <xdr:row>97</xdr:row>
      <xdr:rowOff>69122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37E6EE-AC1B-EE49-AD3A-EEFF2AA2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70</xdr:row>
      <xdr:rowOff>0</xdr:rowOff>
    </xdr:from>
    <xdr:to>
      <xdr:col>39</xdr:col>
      <xdr:colOff>357128</xdr:colOff>
      <xdr:row>100</xdr:row>
      <xdr:rowOff>18322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BB949B-F8F3-334C-815F-BF6D52505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1151680</xdr:colOff>
      <xdr:row>383</xdr:row>
      <xdr:rowOff>23471</xdr:rowOff>
    </xdr:from>
    <xdr:to>
      <xdr:col>37</xdr:col>
      <xdr:colOff>711200</xdr:colOff>
      <xdr:row>446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A274CE-75D4-2848-8849-AD9683A65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32</xdr:col>
      <xdr:colOff>82869</xdr:colOff>
      <xdr:row>29</xdr:row>
      <xdr:rowOff>30596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40EBCC-C8E5-C041-9C57-60980BC6A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32</xdr:row>
      <xdr:rowOff>0</xdr:rowOff>
    </xdr:from>
    <xdr:to>
      <xdr:col>32</xdr:col>
      <xdr:colOff>82869</xdr:colOff>
      <xdr:row>58</xdr:row>
      <xdr:rowOff>30595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DD4FB8-53D8-5942-AD78-081E62311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1151466</xdr:colOff>
      <xdr:row>282</xdr:row>
      <xdr:rowOff>0</xdr:rowOff>
    </xdr:from>
    <xdr:to>
      <xdr:col>37</xdr:col>
      <xdr:colOff>761999</xdr:colOff>
      <xdr:row>377</xdr:row>
      <xdr:rowOff>141111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E1180B3-11CF-FF44-996D-9D2E7D1D6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346364</xdr:colOff>
      <xdr:row>99</xdr:row>
      <xdr:rowOff>76969</xdr:rowOff>
    </xdr:from>
    <xdr:to>
      <xdr:col>33</xdr:col>
      <xdr:colOff>429233</xdr:colOff>
      <xdr:row>125</xdr:row>
      <xdr:rowOff>107565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9459E5-3AA4-E342-90EB-68C2D0A06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3</xdr:row>
      <xdr:rowOff>0</xdr:rowOff>
    </xdr:from>
    <xdr:to>
      <xdr:col>49</xdr:col>
      <xdr:colOff>82869</xdr:colOff>
      <xdr:row>29</xdr:row>
      <xdr:rowOff>30596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E2780D7-CA2E-804A-8F07-BF56D28F2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49</xdr:col>
      <xdr:colOff>82869</xdr:colOff>
      <xdr:row>60</xdr:row>
      <xdr:rowOff>30596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DAE86F0-B823-E845-8F0E-72CBB1926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0</xdr:colOff>
      <xdr:row>66</xdr:row>
      <xdr:rowOff>0</xdr:rowOff>
    </xdr:from>
    <xdr:to>
      <xdr:col>50</xdr:col>
      <xdr:colOff>82869</xdr:colOff>
      <xdr:row>92</xdr:row>
      <xdr:rowOff>30596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91B4ADD-2449-4A4E-A1F3-5F191B3EF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0</xdr:colOff>
      <xdr:row>97</xdr:row>
      <xdr:rowOff>0</xdr:rowOff>
    </xdr:from>
    <xdr:to>
      <xdr:col>50</xdr:col>
      <xdr:colOff>82869</xdr:colOff>
      <xdr:row>123</xdr:row>
      <xdr:rowOff>30596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B0AF867-7CA4-2E4D-A6DC-20B48EB15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0</xdr:colOff>
      <xdr:row>129</xdr:row>
      <xdr:rowOff>0</xdr:rowOff>
    </xdr:from>
    <xdr:to>
      <xdr:col>50</xdr:col>
      <xdr:colOff>82869</xdr:colOff>
      <xdr:row>155</xdr:row>
      <xdr:rowOff>30596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29F232D-73AB-E24C-AAFB-51E7FADA4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1163586</xdr:colOff>
      <xdr:row>186</xdr:row>
      <xdr:rowOff>121355</xdr:rowOff>
    </xdr:from>
    <xdr:to>
      <xdr:col>37</xdr:col>
      <xdr:colOff>761999</xdr:colOff>
      <xdr:row>282</xdr:row>
      <xdr:rowOff>62086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253269D-A5D4-614F-9137-161682C55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220134</xdr:colOff>
      <xdr:row>11</xdr:row>
      <xdr:rowOff>203199</xdr:rowOff>
    </xdr:from>
    <xdr:to>
      <xdr:col>29</xdr:col>
      <xdr:colOff>181991</xdr:colOff>
      <xdr:row>45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D0BA0-4F42-EF44-B854-277C8138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1875-38B8-1D45-8121-FB185A46C2F7}">
  <dimension ref="A1:N134"/>
  <sheetViews>
    <sheetView zoomScale="50" zoomScaleNormal="100" workbookViewId="0">
      <pane ySplit="1" topLeftCell="A2" activePane="bottomLeft" state="frozen"/>
      <selection pane="bottomLeft" activeCell="M105" sqref="M105"/>
    </sheetView>
  </sheetViews>
  <sheetFormatPr baseColWidth="10" defaultRowHeight="16" x14ac:dyDescent="0.2"/>
  <cols>
    <col min="1" max="1" width="14.6640625" customWidth="1"/>
    <col min="4" max="5" width="22.5" customWidth="1"/>
    <col min="6" max="6" width="21.5" customWidth="1"/>
    <col min="7" max="7" width="21.83203125" customWidth="1"/>
    <col min="8" max="8" width="23.1640625" customWidth="1"/>
    <col min="9" max="9" width="22.1640625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>
        <v>0</v>
      </c>
      <c r="C2">
        <v>0</v>
      </c>
    </row>
    <row r="3" spans="1:9" x14ac:dyDescent="0.2">
      <c r="A3" t="s">
        <v>9</v>
      </c>
      <c r="B3">
        <v>5</v>
      </c>
      <c r="C3">
        <v>0</v>
      </c>
    </row>
    <row r="4" spans="1:9" x14ac:dyDescent="0.2">
      <c r="A4" t="s">
        <v>10</v>
      </c>
      <c r="B4">
        <v>3</v>
      </c>
      <c r="C4">
        <v>0</v>
      </c>
    </row>
    <row r="5" spans="1:9" x14ac:dyDescent="0.2">
      <c r="A5" t="s">
        <v>11</v>
      </c>
      <c r="B5">
        <v>1</v>
      </c>
      <c r="C5">
        <v>0</v>
      </c>
    </row>
    <row r="6" spans="1:9" x14ac:dyDescent="0.2">
      <c r="A6" t="s">
        <v>12</v>
      </c>
      <c r="B6">
        <v>1</v>
      </c>
      <c r="C6">
        <v>0</v>
      </c>
    </row>
    <row r="7" spans="1:9" x14ac:dyDescent="0.2">
      <c r="A7" t="s">
        <v>13</v>
      </c>
      <c r="B7">
        <v>1</v>
      </c>
      <c r="C7">
        <v>0</v>
      </c>
    </row>
    <row r="8" spans="1:9" x14ac:dyDescent="0.2">
      <c r="A8" t="s">
        <v>14</v>
      </c>
      <c r="B8">
        <v>4</v>
      </c>
      <c r="C8">
        <v>0</v>
      </c>
    </row>
    <row r="9" spans="1:9" x14ac:dyDescent="0.2">
      <c r="A9" t="s">
        <v>15</v>
      </c>
      <c r="B9">
        <v>2</v>
      </c>
      <c r="C9">
        <v>0</v>
      </c>
    </row>
    <row r="10" spans="1:9" x14ac:dyDescent="0.2">
      <c r="A10" t="s">
        <v>16</v>
      </c>
      <c r="B10">
        <v>2</v>
      </c>
      <c r="C10">
        <v>0</v>
      </c>
    </row>
    <row r="11" spans="1:9" x14ac:dyDescent="0.2">
      <c r="A11" t="s">
        <v>17</v>
      </c>
      <c r="B11">
        <v>0</v>
      </c>
      <c r="C11">
        <v>0</v>
      </c>
    </row>
    <row r="12" spans="1:9" x14ac:dyDescent="0.2">
      <c r="A12" t="s">
        <v>18</v>
      </c>
      <c r="B12">
        <v>8</v>
      </c>
      <c r="C12">
        <v>0</v>
      </c>
    </row>
    <row r="13" spans="1:9" x14ac:dyDescent="0.2">
      <c r="A13" t="s">
        <v>19</v>
      </c>
      <c r="B13">
        <v>8</v>
      </c>
      <c r="C13">
        <v>0</v>
      </c>
    </row>
    <row r="14" spans="1:9" x14ac:dyDescent="0.2">
      <c r="A14" t="s">
        <v>20</v>
      </c>
      <c r="B14">
        <v>2</v>
      </c>
      <c r="C14">
        <v>0</v>
      </c>
    </row>
    <row r="15" spans="1:9" x14ac:dyDescent="0.2">
      <c r="A15" t="s">
        <v>21</v>
      </c>
      <c r="B15">
        <v>2</v>
      </c>
      <c r="C15">
        <v>0</v>
      </c>
    </row>
    <row r="16" spans="1:9" x14ac:dyDescent="0.2">
      <c r="A16" t="s">
        <v>22</v>
      </c>
      <c r="B16">
        <v>0</v>
      </c>
      <c r="C16">
        <v>0</v>
      </c>
    </row>
    <row r="17" spans="1:9" x14ac:dyDescent="0.2">
      <c r="A17" t="s">
        <v>23</v>
      </c>
      <c r="B17">
        <v>2</v>
      </c>
      <c r="C17">
        <v>0</v>
      </c>
      <c r="D17">
        <v>0.4</v>
      </c>
      <c r="E17">
        <v>1.4975000000000001</v>
      </c>
      <c r="F17">
        <v>17.193333333333332</v>
      </c>
      <c r="G17">
        <v>1.2233333333333334</v>
      </c>
      <c r="H17">
        <v>3.5799999999999996</v>
      </c>
      <c r="I17">
        <v>0.42299999999999999</v>
      </c>
    </row>
    <row r="18" spans="1:9" x14ac:dyDescent="0.2">
      <c r="A18" t="s">
        <v>24</v>
      </c>
      <c r="B18">
        <v>2</v>
      </c>
      <c r="C18">
        <v>0</v>
      </c>
      <c r="D18">
        <v>0.21000000000000002</v>
      </c>
      <c r="E18">
        <v>1.0049999999999999</v>
      </c>
      <c r="F18">
        <v>19.518000000000001</v>
      </c>
      <c r="G18">
        <v>9.1999999999999998E-2</v>
      </c>
      <c r="H18">
        <v>1.83</v>
      </c>
      <c r="I18">
        <v>0.49249999999999999</v>
      </c>
    </row>
    <row r="19" spans="1:9" x14ac:dyDescent="0.2">
      <c r="A19" t="s">
        <v>25</v>
      </c>
      <c r="B19">
        <v>4</v>
      </c>
      <c r="C19">
        <v>0</v>
      </c>
      <c r="D19">
        <v>0.27749999999999997</v>
      </c>
      <c r="E19">
        <v>0.73250000000000004</v>
      </c>
      <c r="F19">
        <v>34.6875</v>
      </c>
      <c r="G19">
        <v>0.38999999999999996</v>
      </c>
      <c r="H19">
        <v>2.2599999999999998</v>
      </c>
      <c r="I19">
        <v>0.29499999999999998</v>
      </c>
    </row>
    <row r="20" spans="1:9" x14ac:dyDescent="0.2">
      <c r="A20" t="s">
        <v>26</v>
      </c>
      <c r="B20">
        <v>4</v>
      </c>
      <c r="C20">
        <v>0</v>
      </c>
      <c r="D20">
        <v>0.42800000000000005</v>
      </c>
      <c r="E20">
        <v>1.4379999999999999</v>
      </c>
      <c r="F20">
        <v>29.491999999999997</v>
      </c>
      <c r="G20">
        <v>0.30999999999999994</v>
      </c>
      <c r="H20">
        <v>2.968</v>
      </c>
      <c r="I20">
        <v>0.46800000000000003</v>
      </c>
    </row>
    <row r="21" spans="1:9" x14ac:dyDescent="0.2">
      <c r="A21" t="s">
        <v>27</v>
      </c>
      <c r="B21">
        <v>3</v>
      </c>
      <c r="C21">
        <v>0</v>
      </c>
      <c r="D21">
        <v>2.835</v>
      </c>
      <c r="E21">
        <v>5.3774999999999995</v>
      </c>
      <c r="F21">
        <v>21.6525</v>
      </c>
      <c r="G21">
        <v>0.82</v>
      </c>
      <c r="H21">
        <v>3.5124999999999997</v>
      </c>
      <c r="I21">
        <v>0.88749999999999996</v>
      </c>
    </row>
    <row r="22" spans="1:9" x14ac:dyDescent="0.2">
      <c r="A22" t="s">
        <v>28</v>
      </c>
      <c r="B22">
        <v>4</v>
      </c>
      <c r="C22">
        <v>0</v>
      </c>
      <c r="D22">
        <v>10.196000000000002</v>
      </c>
      <c r="E22">
        <v>15.934999999999999</v>
      </c>
      <c r="F22">
        <v>16.697499999999998</v>
      </c>
      <c r="G22">
        <v>2.4449999999999998</v>
      </c>
      <c r="H22">
        <v>3</v>
      </c>
      <c r="I22">
        <v>5.0324999999999998</v>
      </c>
    </row>
    <row r="23" spans="1:9" x14ac:dyDescent="0.2">
      <c r="A23" t="s">
        <v>29</v>
      </c>
      <c r="B23">
        <v>6</v>
      </c>
      <c r="C23">
        <v>0</v>
      </c>
      <c r="D23">
        <v>18.5275</v>
      </c>
      <c r="E23">
        <v>28.25</v>
      </c>
      <c r="F23">
        <v>10.542</v>
      </c>
      <c r="G23">
        <v>6.5139999999999985</v>
      </c>
      <c r="H23">
        <v>2.6280000000000001</v>
      </c>
      <c r="I23">
        <v>9.136000000000001</v>
      </c>
    </row>
    <row r="24" spans="1:9" x14ac:dyDescent="0.2">
      <c r="A24" t="s">
        <v>30</v>
      </c>
      <c r="B24">
        <v>6</v>
      </c>
      <c r="C24">
        <v>0</v>
      </c>
      <c r="D24">
        <v>17.817499999999999</v>
      </c>
      <c r="E24">
        <v>31.125</v>
      </c>
      <c r="F24">
        <v>11.7475</v>
      </c>
      <c r="G24">
        <v>8.7074999999999996</v>
      </c>
      <c r="H24">
        <v>2.5449999999999999</v>
      </c>
      <c r="I24">
        <v>6.8475000000000001</v>
      </c>
    </row>
    <row r="25" spans="1:9" x14ac:dyDescent="0.2">
      <c r="A25" t="s">
        <v>31</v>
      </c>
      <c r="B25">
        <v>6</v>
      </c>
      <c r="C25">
        <v>170</v>
      </c>
      <c r="D25">
        <v>9.5620000000000012</v>
      </c>
      <c r="E25">
        <v>20.36</v>
      </c>
      <c r="F25">
        <v>13.404999999999999</v>
      </c>
      <c r="G25">
        <v>9.2140000000000022</v>
      </c>
      <c r="H25">
        <v>2.0575000000000001</v>
      </c>
      <c r="I25">
        <v>6.3175000000000008</v>
      </c>
    </row>
    <row r="26" spans="1:9" x14ac:dyDescent="0.2">
      <c r="A26" t="s">
        <v>32</v>
      </c>
      <c r="B26">
        <v>1</v>
      </c>
      <c r="C26">
        <v>525</v>
      </c>
      <c r="D26">
        <v>2.7600000000000002</v>
      </c>
      <c r="E26">
        <v>0.89600000000000013</v>
      </c>
      <c r="F26">
        <v>8.1325000000000003</v>
      </c>
      <c r="G26">
        <v>2.9859999999999998</v>
      </c>
      <c r="H26">
        <v>2.278</v>
      </c>
      <c r="I26">
        <v>2.3779999999999997</v>
      </c>
    </row>
    <row r="27" spans="1:9" x14ac:dyDescent="0.2">
      <c r="A27" t="s">
        <v>33</v>
      </c>
      <c r="B27">
        <v>0</v>
      </c>
      <c r="C27">
        <v>784</v>
      </c>
      <c r="D27">
        <v>0.46499999999999997</v>
      </c>
      <c r="E27">
        <v>2.5000000000000001E-2</v>
      </c>
      <c r="F27">
        <v>4.0519999999999996</v>
      </c>
      <c r="G27">
        <v>0.25</v>
      </c>
      <c r="H27">
        <v>1.9075</v>
      </c>
      <c r="I27">
        <v>0.60499999999999998</v>
      </c>
    </row>
    <row r="28" spans="1:9" x14ac:dyDescent="0.2">
      <c r="A28" t="s">
        <v>34</v>
      </c>
      <c r="B28">
        <v>4</v>
      </c>
      <c r="C28">
        <v>646</v>
      </c>
      <c r="D28">
        <v>0.53249999999999997</v>
      </c>
      <c r="E28">
        <v>0.43200000000000005</v>
      </c>
      <c r="F28">
        <v>5.0175000000000001</v>
      </c>
      <c r="G28">
        <v>0.06</v>
      </c>
      <c r="H28">
        <v>1.8374999999999999</v>
      </c>
      <c r="I28">
        <v>0.13599999999999998</v>
      </c>
    </row>
    <row r="29" spans="1:9" x14ac:dyDescent="0.2">
      <c r="A29" t="s">
        <v>35</v>
      </c>
      <c r="B29">
        <v>3</v>
      </c>
      <c r="C29">
        <v>1548</v>
      </c>
      <c r="D29">
        <v>0.1275</v>
      </c>
      <c r="E29">
        <v>7.7499999999999999E-2</v>
      </c>
      <c r="F29">
        <v>11.115</v>
      </c>
      <c r="G29">
        <v>4.3999999999999997E-2</v>
      </c>
      <c r="H29">
        <v>1.7475000000000001</v>
      </c>
      <c r="I29">
        <v>9.5000000000000001E-2</v>
      </c>
    </row>
    <row r="30" spans="1:9" x14ac:dyDescent="0.2">
      <c r="A30" t="s">
        <v>36</v>
      </c>
      <c r="B30">
        <v>1</v>
      </c>
      <c r="C30">
        <v>1208</v>
      </c>
      <c r="D30">
        <v>5.7500000000000002E-2</v>
      </c>
      <c r="E30">
        <v>0.03</v>
      </c>
      <c r="F30">
        <v>9.7720000000000002</v>
      </c>
      <c r="G30">
        <v>7.2499999999999995E-2</v>
      </c>
      <c r="H30">
        <v>1.3225</v>
      </c>
      <c r="I30">
        <v>7.2499999999999995E-2</v>
      </c>
    </row>
    <row r="31" spans="1:9" x14ac:dyDescent="0.2">
      <c r="A31" t="s">
        <v>37</v>
      </c>
      <c r="B31">
        <v>2</v>
      </c>
      <c r="C31">
        <v>1674</v>
      </c>
      <c r="D31">
        <v>3.4000000000000002E-2</v>
      </c>
      <c r="E31">
        <v>2.2499999999999999E-2</v>
      </c>
      <c r="F31">
        <v>19.244</v>
      </c>
      <c r="G31">
        <v>4.5999999999999999E-2</v>
      </c>
      <c r="H31">
        <v>1.1839999999999999</v>
      </c>
      <c r="I31">
        <v>9.8000000000000004E-2</v>
      </c>
    </row>
    <row r="32" spans="1:9" x14ac:dyDescent="0.2">
      <c r="A32" t="s">
        <v>38</v>
      </c>
      <c r="B32">
        <v>0</v>
      </c>
      <c r="C32">
        <v>5703</v>
      </c>
      <c r="D32">
        <v>1.4999999999999999E-2</v>
      </c>
      <c r="E32">
        <v>0.05</v>
      </c>
      <c r="F32">
        <v>19.03</v>
      </c>
      <c r="G32">
        <v>0.57000000000000006</v>
      </c>
      <c r="H32">
        <v>1.0675000000000001</v>
      </c>
      <c r="I32">
        <v>8.5000000000000006E-2</v>
      </c>
    </row>
    <row r="33" spans="1:9" x14ac:dyDescent="0.2">
      <c r="A33" t="s">
        <v>39</v>
      </c>
      <c r="B33">
        <v>2</v>
      </c>
      <c r="C33">
        <v>15545</v>
      </c>
      <c r="D33">
        <v>5.6000000000000008E-2</v>
      </c>
      <c r="E33">
        <v>4.7500000000000001E-2</v>
      </c>
      <c r="F33">
        <v>13.2075</v>
      </c>
      <c r="G33">
        <v>0.08</v>
      </c>
      <c r="H33">
        <v>0.80500000000000005</v>
      </c>
      <c r="I33">
        <v>7.5000000000000011E-2</v>
      </c>
    </row>
    <row r="34" spans="1:9" x14ac:dyDescent="0.2">
      <c r="A34" t="s">
        <v>40</v>
      </c>
      <c r="B34">
        <v>1</v>
      </c>
      <c r="C34">
        <v>10112</v>
      </c>
      <c r="D34">
        <v>2.2499999999999999E-2</v>
      </c>
      <c r="E34">
        <v>2.8000000000000004E-2</v>
      </c>
      <c r="F34">
        <v>8.7140000000000004</v>
      </c>
      <c r="G34">
        <v>1.6E-2</v>
      </c>
      <c r="H34">
        <v>1.0720000000000001</v>
      </c>
      <c r="I34">
        <v>4.5999999999999999E-2</v>
      </c>
    </row>
    <row r="35" spans="1:9" x14ac:dyDescent="0.2">
      <c r="A35" t="s">
        <v>41</v>
      </c>
      <c r="B35">
        <v>1</v>
      </c>
      <c r="C35">
        <v>7416</v>
      </c>
      <c r="D35">
        <v>1.7500000000000002E-2</v>
      </c>
      <c r="E35">
        <v>2.8000000000000004E-2</v>
      </c>
      <c r="F35">
        <v>8.1775000000000002</v>
      </c>
      <c r="G35">
        <v>0</v>
      </c>
      <c r="H35">
        <v>0.97000000000000008</v>
      </c>
      <c r="I35">
        <v>0.125</v>
      </c>
    </row>
    <row r="36" spans="1:9" x14ac:dyDescent="0.2">
      <c r="A36" t="s">
        <v>42</v>
      </c>
      <c r="B36">
        <v>1</v>
      </c>
      <c r="C36">
        <v>4966</v>
      </c>
      <c r="D36">
        <v>0.02</v>
      </c>
      <c r="E36">
        <v>1.2500000000000001E-2</v>
      </c>
      <c r="F36">
        <v>12.495000000000001</v>
      </c>
      <c r="G36">
        <v>8.7499999999999994E-2</v>
      </c>
      <c r="H36">
        <v>1.2025000000000001</v>
      </c>
      <c r="I36">
        <v>8.7499999999999994E-2</v>
      </c>
    </row>
    <row r="37" spans="1:9" x14ac:dyDescent="0.2">
      <c r="A37" t="s">
        <v>43</v>
      </c>
      <c r="B37">
        <v>1</v>
      </c>
      <c r="C37">
        <v>5503</v>
      </c>
      <c r="D37">
        <v>3.5000000000000003E-2</v>
      </c>
      <c r="E37">
        <v>0</v>
      </c>
      <c r="F37">
        <v>12.685</v>
      </c>
      <c r="G37">
        <v>0</v>
      </c>
      <c r="H37">
        <v>2.0524999999999998</v>
      </c>
      <c r="I37">
        <v>0.41750000000000004</v>
      </c>
    </row>
    <row r="38" spans="1:9" x14ac:dyDescent="0.2">
      <c r="A38" t="s">
        <v>44</v>
      </c>
      <c r="B38">
        <v>2</v>
      </c>
      <c r="C38">
        <v>10152</v>
      </c>
      <c r="D38">
        <v>0.14750000000000002</v>
      </c>
      <c r="E38">
        <v>1.4999999999999999E-2</v>
      </c>
      <c r="F38">
        <v>12.898000000000001</v>
      </c>
      <c r="G38">
        <v>7.8E-2</v>
      </c>
      <c r="H38">
        <v>1.6819999999999999</v>
      </c>
      <c r="I38">
        <v>2.7320000000000002</v>
      </c>
    </row>
    <row r="39" spans="1:9" x14ac:dyDescent="0.2">
      <c r="A39" t="s">
        <v>45</v>
      </c>
      <c r="B39">
        <v>1</v>
      </c>
      <c r="C39">
        <v>5667</v>
      </c>
      <c r="D39">
        <v>0.31499999999999995</v>
      </c>
      <c r="E39">
        <v>0</v>
      </c>
      <c r="F39">
        <v>12.395</v>
      </c>
      <c r="G39">
        <v>0.17249999999999999</v>
      </c>
      <c r="H39">
        <v>2.12</v>
      </c>
      <c r="I39">
        <v>4.0549999999999997</v>
      </c>
    </row>
    <row r="40" spans="1:9" x14ac:dyDescent="0.2">
      <c r="A40" t="s">
        <v>46</v>
      </c>
      <c r="B40">
        <v>6</v>
      </c>
      <c r="C40">
        <v>1654</v>
      </c>
      <c r="D40">
        <v>1.204</v>
      </c>
      <c r="E40">
        <v>0</v>
      </c>
      <c r="F40">
        <v>15.914000000000001</v>
      </c>
      <c r="G40">
        <v>0</v>
      </c>
      <c r="H40">
        <v>2.4300000000000002</v>
      </c>
      <c r="I40">
        <v>5.7240000000000002</v>
      </c>
    </row>
    <row r="41" spans="1:9" x14ac:dyDescent="0.2">
      <c r="A41" t="s">
        <v>47</v>
      </c>
      <c r="B41">
        <v>4</v>
      </c>
      <c r="C41">
        <v>3093</v>
      </c>
      <c r="D41">
        <v>4.7860000000000005</v>
      </c>
      <c r="E41">
        <v>1.4999999999999999E-2</v>
      </c>
      <c r="F41">
        <v>19.762499999999999</v>
      </c>
      <c r="G41">
        <v>0.11399999999999999</v>
      </c>
      <c r="H41">
        <v>2.7119999999999997</v>
      </c>
      <c r="I41">
        <v>3.8266666666666667</v>
      </c>
    </row>
    <row r="42" spans="1:9" x14ac:dyDescent="0.2">
      <c r="A42" t="s">
        <v>48</v>
      </c>
      <c r="B42">
        <v>2</v>
      </c>
      <c r="C42">
        <v>9702</v>
      </c>
      <c r="D42">
        <v>8.43</v>
      </c>
      <c r="E42">
        <v>1.2500000000000001E-2</v>
      </c>
      <c r="F42">
        <v>21.09</v>
      </c>
      <c r="G42">
        <v>8.7499999999999994E-2</v>
      </c>
      <c r="H42">
        <v>2.4625000000000004</v>
      </c>
      <c r="I42">
        <v>3.78</v>
      </c>
    </row>
    <row r="43" spans="1:9" x14ac:dyDescent="0.2">
      <c r="A43" t="s">
        <v>49</v>
      </c>
      <c r="B43">
        <v>3</v>
      </c>
      <c r="C43">
        <v>13058</v>
      </c>
      <c r="D43">
        <v>9.0540000000000003</v>
      </c>
      <c r="E43">
        <v>3.8000000000000006E-2</v>
      </c>
      <c r="F43">
        <v>26.242000000000001</v>
      </c>
      <c r="G43">
        <v>0.23800000000000004</v>
      </c>
      <c r="H43">
        <v>2.2299999999999995</v>
      </c>
      <c r="I43">
        <v>1.8475000000000001</v>
      </c>
    </row>
    <row r="44" spans="1:9" x14ac:dyDescent="0.2">
      <c r="A44" t="s">
        <v>50</v>
      </c>
      <c r="B44">
        <v>6</v>
      </c>
      <c r="C44">
        <v>15899</v>
      </c>
      <c r="D44">
        <v>10.155000000000001</v>
      </c>
      <c r="E44">
        <v>6.5000000000000002E-2</v>
      </c>
      <c r="F44">
        <v>22.61</v>
      </c>
      <c r="G44">
        <v>0.45499999999999996</v>
      </c>
      <c r="H44">
        <v>3.5100000000000002</v>
      </c>
      <c r="I44">
        <v>1.8299999999999996</v>
      </c>
    </row>
    <row r="45" spans="1:9" x14ac:dyDescent="0.2">
      <c r="A45" t="s">
        <v>51</v>
      </c>
      <c r="B45">
        <v>5</v>
      </c>
      <c r="C45">
        <v>19892</v>
      </c>
      <c r="D45">
        <v>9.1020000000000003</v>
      </c>
      <c r="E45">
        <v>0.21500000000000002</v>
      </c>
      <c r="F45">
        <v>19.689999999999998</v>
      </c>
      <c r="G45">
        <v>1.3859999999999999</v>
      </c>
      <c r="H45">
        <v>3.1224999999999996</v>
      </c>
      <c r="I45">
        <v>2.415</v>
      </c>
    </row>
    <row r="46" spans="1:9" x14ac:dyDescent="0.2">
      <c r="A46" t="s">
        <v>52</v>
      </c>
      <c r="B46">
        <v>1</v>
      </c>
      <c r="C46">
        <v>22346</v>
      </c>
      <c r="D46">
        <v>7.8860000000000001</v>
      </c>
      <c r="E46">
        <v>3.69</v>
      </c>
      <c r="F46">
        <v>14.742000000000001</v>
      </c>
      <c r="G46">
        <v>4.1500000000000004</v>
      </c>
      <c r="H46">
        <v>3.2659999999999996</v>
      </c>
      <c r="I46">
        <v>4.1800000000000006</v>
      </c>
    </row>
    <row r="47" spans="1:9" x14ac:dyDescent="0.2">
      <c r="A47" t="s">
        <v>53</v>
      </c>
      <c r="B47">
        <v>1</v>
      </c>
      <c r="C47">
        <v>73785</v>
      </c>
      <c r="D47">
        <v>2.8899999999999997</v>
      </c>
      <c r="E47">
        <v>5.3550000000000004</v>
      </c>
      <c r="F47">
        <v>6.5939999999999994</v>
      </c>
      <c r="G47">
        <v>4.9249999999999998</v>
      </c>
      <c r="H47">
        <v>3.17</v>
      </c>
      <c r="I47">
        <v>3.645</v>
      </c>
    </row>
    <row r="48" spans="1:9" x14ac:dyDescent="0.2">
      <c r="A48" t="s">
        <v>54</v>
      </c>
      <c r="B48">
        <v>0</v>
      </c>
      <c r="C48">
        <v>7200</v>
      </c>
      <c r="D48">
        <v>1.4175</v>
      </c>
      <c r="E48">
        <v>5.74</v>
      </c>
      <c r="F48">
        <v>8.3175000000000008</v>
      </c>
      <c r="G48">
        <v>4.57</v>
      </c>
      <c r="H48">
        <v>2.6619999999999999</v>
      </c>
      <c r="I48">
        <v>2.57</v>
      </c>
    </row>
    <row r="49" spans="1:9" x14ac:dyDescent="0.2">
      <c r="A49" t="s">
        <v>55</v>
      </c>
      <c r="B49">
        <v>6</v>
      </c>
      <c r="C49">
        <v>1952</v>
      </c>
      <c r="D49">
        <v>1.484</v>
      </c>
      <c r="E49">
        <v>5.8319999999999999</v>
      </c>
      <c r="F49">
        <v>16.648</v>
      </c>
      <c r="G49">
        <v>9.3899999999999988</v>
      </c>
      <c r="H49">
        <v>3.4919999999999995</v>
      </c>
      <c r="I49">
        <v>5.6150000000000002</v>
      </c>
    </row>
    <row r="50" spans="1:9" x14ac:dyDescent="0.2">
      <c r="A50" t="s">
        <v>56</v>
      </c>
      <c r="B50">
        <v>12</v>
      </c>
      <c r="C50">
        <v>2537</v>
      </c>
      <c r="D50">
        <v>0.79999999999999993</v>
      </c>
      <c r="E50">
        <v>9.0875000000000004</v>
      </c>
      <c r="F50">
        <v>16.7225</v>
      </c>
      <c r="G50">
        <v>8.4124999999999996</v>
      </c>
      <c r="H50">
        <v>2.59</v>
      </c>
      <c r="I50">
        <v>7.3840000000000003</v>
      </c>
    </row>
    <row r="51" spans="1:9" x14ac:dyDescent="0.2">
      <c r="A51" t="s">
        <v>57</v>
      </c>
      <c r="B51">
        <v>8</v>
      </c>
      <c r="C51">
        <v>6504</v>
      </c>
      <c r="D51">
        <v>0.84750000000000003</v>
      </c>
      <c r="E51">
        <v>7.6574999999999989</v>
      </c>
      <c r="F51">
        <v>15.164999999999999</v>
      </c>
      <c r="G51">
        <v>6.7575000000000003</v>
      </c>
      <c r="H51">
        <v>3.75</v>
      </c>
      <c r="I51">
        <v>7.4525000000000006</v>
      </c>
    </row>
    <row r="52" spans="1:9" x14ac:dyDescent="0.2">
      <c r="A52" t="s">
        <v>58</v>
      </c>
      <c r="B52">
        <v>5</v>
      </c>
      <c r="C52">
        <v>6523</v>
      </c>
      <c r="D52">
        <v>0.85799999999999998</v>
      </c>
      <c r="E52">
        <v>2.9160000000000004</v>
      </c>
      <c r="F52">
        <v>13.858000000000001</v>
      </c>
      <c r="G52">
        <v>2.9974999999999996</v>
      </c>
      <c r="H52">
        <v>3.4775</v>
      </c>
      <c r="I52">
        <v>3.6920000000000002</v>
      </c>
    </row>
    <row r="53" spans="1:9" x14ac:dyDescent="0.2">
      <c r="A53" t="s">
        <v>59</v>
      </c>
      <c r="B53">
        <v>3</v>
      </c>
      <c r="C53">
        <v>6351</v>
      </c>
      <c r="D53">
        <v>0.98</v>
      </c>
      <c r="E53">
        <v>0.20749999999999999</v>
      </c>
      <c r="F53">
        <v>10.585000000000001</v>
      </c>
      <c r="G53">
        <v>0.80600000000000005</v>
      </c>
      <c r="H53">
        <v>2.996</v>
      </c>
      <c r="I53">
        <v>0.94333333333333336</v>
      </c>
    </row>
    <row r="54" spans="1:9" x14ac:dyDescent="0.2">
      <c r="A54" t="s">
        <v>60</v>
      </c>
      <c r="B54">
        <v>3</v>
      </c>
      <c r="C54">
        <v>4578</v>
      </c>
      <c r="D54">
        <v>1.042</v>
      </c>
      <c r="E54">
        <v>0.14750000000000002</v>
      </c>
      <c r="F54">
        <v>17.494999999999997</v>
      </c>
      <c r="G54">
        <v>0.10249999999999999</v>
      </c>
      <c r="H54">
        <v>2.6100000000000003</v>
      </c>
      <c r="I54">
        <v>0.54</v>
      </c>
    </row>
    <row r="55" spans="1:9" x14ac:dyDescent="0.2">
      <c r="A55" t="s">
        <v>61</v>
      </c>
      <c r="B55">
        <v>5</v>
      </c>
      <c r="C55">
        <v>2066</v>
      </c>
      <c r="D55">
        <v>1.81</v>
      </c>
      <c r="E55">
        <v>0.10799999999999998</v>
      </c>
      <c r="F55">
        <v>31.154000000000003</v>
      </c>
      <c r="G55">
        <v>0.13999999999999999</v>
      </c>
      <c r="H55">
        <v>2.298</v>
      </c>
      <c r="I55">
        <v>0.38499999999999995</v>
      </c>
    </row>
    <row r="56" spans="1:9" x14ac:dyDescent="0.2">
      <c r="A56" t="s">
        <v>62</v>
      </c>
      <c r="B56">
        <v>5</v>
      </c>
      <c r="C56">
        <v>2201</v>
      </c>
      <c r="D56">
        <v>8.6425000000000001</v>
      </c>
      <c r="E56">
        <v>0.64</v>
      </c>
      <c r="F56">
        <v>28.252500000000001</v>
      </c>
      <c r="G56">
        <v>7.2499999999999995E-2</v>
      </c>
      <c r="H56">
        <v>3.8</v>
      </c>
      <c r="I56">
        <v>0.48749999999999999</v>
      </c>
    </row>
    <row r="57" spans="1:9" x14ac:dyDescent="0.2">
      <c r="A57" t="s">
        <v>63</v>
      </c>
      <c r="B57">
        <v>11</v>
      </c>
      <c r="C57">
        <v>3856</v>
      </c>
      <c r="D57">
        <v>18.207999999999998</v>
      </c>
      <c r="E57">
        <v>11.463999999999999</v>
      </c>
      <c r="F57">
        <v>18.667999999999999</v>
      </c>
      <c r="G57">
        <v>0.44750000000000001</v>
      </c>
      <c r="H57">
        <v>3.95</v>
      </c>
      <c r="I57">
        <v>0.90199999999999991</v>
      </c>
    </row>
    <row r="58" spans="1:9" x14ac:dyDescent="0.2">
      <c r="A58" t="s">
        <v>64</v>
      </c>
      <c r="B58">
        <v>18</v>
      </c>
      <c r="C58">
        <v>2723</v>
      </c>
      <c r="D58">
        <v>12.62</v>
      </c>
      <c r="E58">
        <v>24.427499999999998</v>
      </c>
      <c r="F58">
        <v>9.9875000000000007</v>
      </c>
      <c r="G58">
        <v>0.89400000000000013</v>
      </c>
      <c r="H58">
        <v>2.6574999999999998</v>
      </c>
      <c r="I58">
        <v>2.58</v>
      </c>
    </row>
    <row r="59" spans="1:9" x14ac:dyDescent="0.2">
      <c r="A59" t="s">
        <v>65</v>
      </c>
      <c r="B59">
        <v>9</v>
      </c>
      <c r="C59">
        <v>1462</v>
      </c>
      <c r="D59">
        <v>8.4149999999999991</v>
      </c>
      <c r="E59">
        <v>11.3775</v>
      </c>
      <c r="F59">
        <v>9.9480000000000004</v>
      </c>
      <c r="G59">
        <v>2.41</v>
      </c>
      <c r="H59">
        <v>3.4849999999999999</v>
      </c>
      <c r="I59">
        <v>4.7774999999999999</v>
      </c>
    </row>
    <row r="60" spans="1:9" x14ac:dyDescent="0.2">
      <c r="A60" t="s">
        <v>66</v>
      </c>
      <c r="B60">
        <v>14</v>
      </c>
      <c r="C60">
        <v>1618</v>
      </c>
      <c r="D60">
        <v>3.55</v>
      </c>
      <c r="E60">
        <v>2.5649999999999999</v>
      </c>
      <c r="F60">
        <v>16.116666666666664</v>
      </c>
      <c r="G60">
        <v>3.9849999999999999</v>
      </c>
      <c r="H60">
        <v>4.49</v>
      </c>
      <c r="I60">
        <v>9.9699999999999989</v>
      </c>
    </row>
    <row r="61" spans="1:9" x14ac:dyDescent="0.2">
      <c r="A61" t="s">
        <v>67</v>
      </c>
      <c r="B61">
        <v>5</v>
      </c>
      <c r="C61">
        <v>1135</v>
      </c>
      <c r="D61">
        <v>1.22</v>
      </c>
      <c r="E61">
        <v>1.1440000000000001</v>
      </c>
      <c r="F61">
        <v>12.972</v>
      </c>
      <c r="G61">
        <v>10.25</v>
      </c>
      <c r="H61">
        <v>5.43</v>
      </c>
      <c r="I61">
        <v>9.4319999999999986</v>
      </c>
    </row>
    <row r="62" spans="1:9" x14ac:dyDescent="0.2">
      <c r="A62" t="s">
        <v>68</v>
      </c>
      <c r="B62">
        <v>9</v>
      </c>
      <c r="C62">
        <v>734</v>
      </c>
      <c r="D62">
        <v>0.78749999999999998</v>
      </c>
      <c r="E62">
        <v>1.5</v>
      </c>
      <c r="F62">
        <v>15.522500000000001</v>
      </c>
      <c r="G62">
        <v>9.7474999999999987</v>
      </c>
      <c r="H62">
        <v>4.8875000000000002</v>
      </c>
      <c r="I62">
        <v>4.3849999999999998</v>
      </c>
    </row>
    <row r="63" spans="1:9" x14ac:dyDescent="0.2">
      <c r="A63" t="s">
        <v>69</v>
      </c>
      <c r="B63">
        <v>6</v>
      </c>
      <c r="C63">
        <v>346</v>
      </c>
      <c r="D63">
        <v>0.30249999999999999</v>
      </c>
      <c r="E63">
        <v>1.165</v>
      </c>
      <c r="F63">
        <v>22.25</v>
      </c>
      <c r="G63">
        <v>4.9424999999999999</v>
      </c>
      <c r="H63">
        <v>5.9850000000000003</v>
      </c>
      <c r="I63">
        <v>2.1774999999999998</v>
      </c>
    </row>
    <row r="64" spans="1:9" x14ac:dyDescent="0.2">
      <c r="A64" t="s">
        <v>70</v>
      </c>
      <c r="B64">
        <v>4</v>
      </c>
      <c r="C64">
        <v>166</v>
      </c>
      <c r="D64">
        <v>0.17599999999999999</v>
      </c>
      <c r="E64">
        <v>0.874</v>
      </c>
      <c r="F64">
        <v>19.777999999999999</v>
      </c>
      <c r="G64">
        <v>1.0799999999999998</v>
      </c>
      <c r="H64">
        <v>5.7520000000000007</v>
      </c>
      <c r="I64">
        <v>0.79</v>
      </c>
    </row>
    <row r="65" spans="1:9" x14ac:dyDescent="0.2">
      <c r="A65" t="s">
        <v>71</v>
      </c>
      <c r="B65">
        <v>2</v>
      </c>
      <c r="C65">
        <v>286</v>
      </c>
      <c r="D65">
        <v>0.29500000000000004</v>
      </c>
      <c r="E65">
        <v>0.86499999999999999</v>
      </c>
      <c r="F65">
        <v>14.935</v>
      </c>
      <c r="G65">
        <v>0.36249999999999993</v>
      </c>
      <c r="H65">
        <v>4.0650000000000004</v>
      </c>
      <c r="I65">
        <v>0.46199999999999991</v>
      </c>
    </row>
    <row r="66" spans="1:9" x14ac:dyDescent="0.2">
      <c r="A66" t="s">
        <v>72</v>
      </c>
      <c r="B66">
        <v>3</v>
      </c>
      <c r="C66">
        <v>1119</v>
      </c>
      <c r="D66">
        <v>0.38600000000000001</v>
      </c>
      <c r="E66">
        <v>0.52400000000000002</v>
      </c>
      <c r="F66">
        <v>15.206</v>
      </c>
      <c r="G66">
        <v>0.39799999999999996</v>
      </c>
      <c r="H66">
        <v>3.8260000000000005</v>
      </c>
      <c r="I66">
        <v>0.59</v>
      </c>
    </row>
    <row r="67" spans="1:9" x14ac:dyDescent="0.2">
      <c r="A67" t="s">
        <v>73</v>
      </c>
      <c r="B67">
        <v>4</v>
      </c>
      <c r="C67">
        <v>1282</v>
      </c>
      <c r="D67">
        <v>0.27500000000000002</v>
      </c>
      <c r="E67">
        <v>0.46250000000000002</v>
      </c>
      <c r="F67">
        <v>25.647500000000001</v>
      </c>
      <c r="G67">
        <v>0</v>
      </c>
      <c r="H67">
        <v>2.3525</v>
      </c>
      <c r="I67">
        <v>0.32750000000000001</v>
      </c>
    </row>
    <row r="68" spans="1:9" x14ac:dyDescent="0.2">
      <c r="A68" t="s">
        <v>74</v>
      </c>
      <c r="B68">
        <v>5</v>
      </c>
      <c r="C68">
        <v>1877</v>
      </c>
      <c r="D68">
        <v>1.0825</v>
      </c>
      <c r="E68">
        <v>1.27</v>
      </c>
      <c r="F68">
        <v>19.942499999999999</v>
      </c>
      <c r="G68">
        <v>9.7500000000000003E-2</v>
      </c>
      <c r="H68">
        <v>3.0024999999999995</v>
      </c>
      <c r="I68">
        <v>0.33250000000000002</v>
      </c>
    </row>
    <row r="69" spans="1:9" x14ac:dyDescent="0.2">
      <c r="A69" t="s">
        <v>75</v>
      </c>
      <c r="B69">
        <v>3</v>
      </c>
      <c r="C69">
        <v>2475</v>
      </c>
      <c r="D69">
        <v>3.8439999999999999</v>
      </c>
      <c r="E69">
        <v>7.3780000000000001</v>
      </c>
      <c r="F69">
        <v>17.360000000000003</v>
      </c>
      <c r="G69">
        <v>0.26399999999999996</v>
      </c>
      <c r="H69">
        <v>3.0374999999999996</v>
      </c>
      <c r="I69">
        <v>0.46600000000000003</v>
      </c>
    </row>
    <row r="70" spans="1:9" x14ac:dyDescent="0.2">
      <c r="A70" t="s">
        <v>76</v>
      </c>
      <c r="B70">
        <v>10</v>
      </c>
      <c r="C70">
        <v>2281</v>
      </c>
      <c r="D70">
        <v>9.8349999999999991</v>
      </c>
      <c r="E70">
        <v>19.7775</v>
      </c>
      <c r="F70">
        <v>12.395</v>
      </c>
      <c r="G70">
        <v>0.51</v>
      </c>
      <c r="H70">
        <v>2.5149999999999997</v>
      </c>
      <c r="I70">
        <v>1.9525000000000001</v>
      </c>
    </row>
    <row r="71" spans="1:9" x14ac:dyDescent="0.2">
      <c r="A71" t="s">
        <v>77</v>
      </c>
      <c r="B71">
        <v>7</v>
      </c>
      <c r="C71">
        <v>1692</v>
      </c>
      <c r="D71">
        <v>11.832500000000001</v>
      </c>
      <c r="E71">
        <v>23.337499999999999</v>
      </c>
      <c r="F71">
        <v>9.65</v>
      </c>
      <c r="G71">
        <v>0.71</v>
      </c>
      <c r="H71">
        <v>2.6275000000000004</v>
      </c>
      <c r="I71">
        <v>3.8200000000000003</v>
      </c>
    </row>
    <row r="72" spans="1:9" x14ac:dyDescent="0.2">
      <c r="A72" t="s">
        <v>78</v>
      </c>
      <c r="B72">
        <v>9</v>
      </c>
      <c r="C72">
        <v>1271</v>
      </c>
      <c r="D72">
        <v>9.8179999999999996</v>
      </c>
      <c r="E72">
        <v>19.282</v>
      </c>
      <c r="F72">
        <v>12.048</v>
      </c>
      <c r="G72">
        <v>1.6419999999999999</v>
      </c>
      <c r="H72">
        <v>2.4849999999999999</v>
      </c>
      <c r="I72">
        <v>7.586666666666666</v>
      </c>
    </row>
    <row r="73" spans="1:9" x14ac:dyDescent="0.2">
      <c r="A73" t="s">
        <v>79</v>
      </c>
      <c r="B73">
        <v>4</v>
      </c>
      <c r="C73">
        <v>522</v>
      </c>
      <c r="D73">
        <v>6.5474999999999994</v>
      </c>
      <c r="E73">
        <v>12.287500000000001</v>
      </c>
      <c r="F73">
        <v>11.620000000000001</v>
      </c>
      <c r="G73">
        <v>3.4324999999999997</v>
      </c>
      <c r="H73">
        <v>2.3725000000000001</v>
      </c>
      <c r="I73">
        <v>8.2575000000000003</v>
      </c>
    </row>
    <row r="74" spans="1:9" x14ac:dyDescent="0.2">
      <c r="B74">
        <f>SUM(B2:B73)</f>
        <v>294</v>
      </c>
    </row>
    <row r="134" spans="14:14" x14ac:dyDescent="0.2">
      <c r="N13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20E3-5BC8-5747-800A-C491FDD0046F}">
  <dimension ref="A1:Q58"/>
  <sheetViews>
    <sheetView topLeftCell="A42" zoomScale="56" workbookViewId="0">
      <selection activeCell="N2" sqref="N2"/>
    </sheetView>
  </sheetViews>
  <sheetFormatPr baseColWidth="10" defaultRowHeight="16" x14ac:dyDescent="0.2"/>
  <sheetData>
    <row r="1" spans="1:17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</row>
    <row r="2" spans="1:17" x14ac:dyDescent="0.2">
      <c r="A2" t="s">
        <v>23</v>
      </c>
      <c r="B2">
        <v>2</v>
      </c>
      <c r="D2">
        <v>0</v>
      </c>
      <c r="F2">
        <v>0.4</v>
      </c>
      <c r="H2">
        <v>1.4975000000000001</v>
      </c>
      <c r="J2">
        <v>17.193333333333332</v>
      </c>
      <c r="L2">
        <v>1.2233333333333334</v>
      </c>
      <c r="N2">
        <v>3.5799999999999996</v>
      </c>
      <c r="P2">
        <v>0.42299999999999999</v>
      </c>
    </row>
    <row r="3" spans="1:17" x14ac:dyDescent="0.2">
      <c r="A3" t="s">
        <v>24</v>
      </c>
      <c r="B3">
        <v>2</v>
      </c>
      <c r="C3" s="2">
        <f>AVERAGE(B2:B4)</f>
        <v>2.6666666666666665</v>
      </c>
      <c r="D3">
        <v>0</v>
      </c>
      <c r="E3" s="2">
        <f>AVERAGE(D2:D4)</f>
        <v>0</v>
      </c>
      <c r="F3">
        <v>0.21000000000000002</v>
      </c>
      <c r="G3" s="2">
        <f>AVERAGE(F2:F4)</f>
        <v>0.29583333333333334</v>
      </c>
      <c r="H3">
        <v>1.0049999999999999</v>
      </c>
      <c r="I3" s="2">
        <f>AVERAGE(H2:H4)</f>
        <v>1.0783333333333334</v>
      </c>
      <c r="J3">
        <v>19.518000000000001</v>
      </c>
      <c r="K3" s="2">
        <f>AVERAGE(J2:J4)</f>
        <v>23.799611111111108</v>
      </c>
      <c r="L3">
        <v>9.1999999999999998E-2</v>
      </c>
      <c r="M3" s="2">
        <f>AVERAGE(L2:L4)</f>
        <v>0.56844444444444442</v>
      </c>
      <c r="N3">
        <v>1.83</v>
      </c>
      <c r="O3" s="2">
        <f>AVERAGE(N2:N4)</f>
        <v>2.5566666666666666</v>
      </c>
      <c r="P3">
        <v>0.49249999999999999</v>
      </c>
      <c r="Q3" s="2">
        <f>AVERAGE(P2:P4)</f>
        <v>0.40349999999999997</v>
      </c>
    </row>
    <row r="4" spans="1:17" x14ac:dyDescent="0.2">
      <c r="A4" t="s">
        <v>25</v>
      </c>
      <c r="B4">
        <v>4</v>
      </c>
      <c r="C4" s="2">
        <f t="shared" ref="C4:C57" si="0">AVERAGE(B3:B5)</f>
        <v>3.3333333333333335</v>
      </c>
      <c r="D4">
        <v>0</v>
      </c>
      <c r="E4" s="2">
        <f>AVERAGE(D3:D5)</f>
        <v>0</v>
      </c>
      <c r="F4">
        <v>0.27749999999999997</v>
      </c>
      <c r="G4" s="2">
        <f t="shared" ref="G4:G58" si="1">AVERAGE(F3:F5)</f>
        <v>0.30516666666666664</v>
      </c>
      <c r="H4">
        <v>0.73250000000000004</v>
      </c>
      <c r="I4" s="2">
        <f t="shared" ref="I4:I58" si="2">AVERAGE(H3:H5)</f>
        <v>1.0584999999999998</v>
      </c>
      <c r="J4">
        <v>34.6875</v>
      </c>
      <c r="K4" s="2">
        <f t="shared" ref="K4:K57" si="3">AVERAGE(J3:J5)</f>
        <v>27.899166666666662</v>
      </c>
      <c r="L4">
        <v>0.38999999999999996</v>
      </c>
      <c r="M4" s="2">
        <f t="shared" ref="M4:M58" si="4">AVERAGE(L3:L5)</f>
        <v>0.26399999999999996</v>
      </c>
      <c r="N4">
        <v>2.2599999999999998</v>
      </c>
      <c r="O4" s="2">
        <f t="shared" ref="O4:O58" si="5">AVERAGE(N3:N5)</f>
        <v>2.3526666666666665</v>
      </c>
      <c r="P4">
        <v>0.29499999999999998</v>
      </c>
      <c r="Q4" s="2">
        <f t="shared" ref="Q4:Q58" si="6">AVERAGE(P3:P5)</f>
        <v>0.41850000000000004</v>
      </c>
    </row>
    <row r="5" spans="1:17" x14ac:dyDescent="0.2">
      <c r="A5" t="s">
        <v>26</v>
      </c>
      <c r="B5">
        <v>4</v>
      </c>
      <c r="C5" s="2">
        <f>AVERAGE(B4:B6)</f>
        <v>3.6666666666666665</v>
      </c>
      <c r="D5">
        <v>0</v>
      </c>
      <c r="E5" s="2">
        <f t="shared" ref="E5:E58" si="7">AVERAGE(D4:D6)</f>
        <v>0</v>
      </c>
      <c r="F5">
        <v>0.42800000000000005</v>
      </c>
      <c r="G5" s="2">
        <f t="shared" si="1"/>
        <v>1.1801666666666666</v>
      </c>
      <c r="H5">
        <v>1.4379999999999999</v>
      </c>
      <c r="I5" s="2">
        <f t="shared" si="2"/>
        <v>2.516</v>
      </c>
      <c r="J5">
        <v>29.491999999999997</v>
      </c>
      <c r="K5" s="2">
        <f t="shared" si="3"/>
        <v>28.610666666666663</v>
      </c>
      <c r="L5">
        <v>0.30999999999999994</v>
      </c>
      <c r="M5" s="2">
        <f t="shared" si="4"/>
        <v>0.50666666666666671</v>
      </c>
      <c r="N5">
        <v>2.968</v>
      </c>
      <c r="O5" s="2">
        <f t="shared" si="5"/>
        <v>2.9134999999999995</v>
      </c>
      <c r="P5">
        <v>0.46800000000000003</v>
      </c>
      <c r="Q5" s="2">
        <f t="shared" si="6"/>
        <v>0.55016666666666669</v>
      </c>
    </row>
    <row r="6" spans="1:17" x14ac:dyDescent="0.2">
      <c r="A6" t="s">
        <v>27</v>
      </c>
      <c r="B6">
        <v>3</v>
      </c>
      <c r="C6" s="2">
        <f t="shared" si="0"/>
        <v>3.6666666666666665</v>
      </c>
      <c r="D6">
        <v>0</v>
      </c>
      <c r="E6" s="2">
        <f t="shared" si="7"/>
        <v>0</v>
      </c>
      <c r="F6">
        <v>2.835</v>
      </c>
      <c r="G6" s="2">
        <f t="shared" si="1"/>
        <v>4.4863333333333335</v>
      </c>
      <c r="H6">
        <v>5.3774999999999995</v>
      </c>
      <c r="I6" s="2">
        <f t="shared" si="2"/>
        <v>7.5834999999999999</v>
      </c>
      <c r="J6">
        <v>21.6525</v>
      </c>
      <c r="K6" s="2">
        <f t="shared" si="3"/>
        <v>22.613999999999994</v>
      </c>
      <c r="L6">
        <v>0.82</v>
      </c>
      <c r="M6" s="2">
        <f t="shared" si="4"/>
        <v>1.1916666666666667</v>
      </c>
      <c r="N6">
        <v>3.5124999999999997</v>
      </c>
      <c r="O6" s="2">
        <f t="shared" si="5"/>
        <v>3.1601666666666666</v>
      </c>
      <c r="P6">
        <v>0.88749999999999996</v>
      </c>
      <c r="Q6" s="2">
        <f t="shared" si="6"/>
        <v>2.1293333333333333</v>
      </c>
    </row>
    <row r="7" spans="1:17" x14ac:dyDescent="0.2">
      <c r="A7" t="s">
        <v>28</v>
      </c>
      <c r="B7">
        <v>4</v>
      </c>
      <c r="C7" s="2">
        <f t="shared" si="0"/>
        <v>4.333333333333333</v>
      </c>
      <c r="D7">
        <v>0</v>
      </c>
      <c r="E7" s="2">
        <f t="shared" si="7"/>
        <v>0</v>
      </c>
      <c r="F7">
        <v>10.196000000000002</v>
      </c>
      <c r="G7" s="2">
        <f t="shared" si="1"/>
        <v>10.519500000000001</v>
      </c>
      <c r="H7">
        <v>15.934999999999999</v>
      </c>
      <c r="I7" s="2">
        <f t="shared" si="2"/>
        <v>16.520833333333332</v>
      </c>
      <c r="J7">
        <v>16.697499999999998</v>
      </c>
      <c r="K7" s="2">
        <f t="shared" si="3"/>
        <v>16.297333333333331</v>
      </c>
      <c r="L7">
        <v>2.4449999999999998</v>
      </c>
      <c r="M7" s="2">
        <f t="shared" si="4"/>
        <v>3.259666666666666</v>
      </c>
      <c r="N7">
        <v>3</v>
      </c>
      <c r="O7" s="2">
        <f t="shared" si="5"/>
        <v>3.0468333333333333</v>
      </c>
      <c r="P7">
        <v>5.0324999999999998</v>
      </c>
      <c r="Q7" s="2">
        <f t="shared" si="6"/>
        <v>5.0186666666666673</v>
      </c>
    </row>
    <row r="8" spans="1:17" x14ac:dyDescent="0.2">
      <c r="A8" t="s">
        <v>29</v>
      </c>
      <c r="B8">
        <v>6</v>
      </c>
      <c r="C8" s="2">
        <f t="shared" si="0"/>
        <v>5.333333333333333</v>
      </c>
      <c r="D8">
        <v>0</v>
      </c>
      <c r="E8" s="2">
        <f t="shared" si="7"/>
        <v>0</v>
      </c>
      <c r="F8">
        <v>18.5275</v>
      </c>
      <c r="G8" s="2">
        <f>AVERAGE(F7:F9)</f>
        <v>15.513666666666666</v>
      </c>
      <c r="H8">
        <v>28.25</v>
      </c>
      <c r="I8" s="2">
        <f t="shared" si="2"/>
        <v>25.103333333333335</v>
      </c>
      <c r="J8">
        <v>10.542</v>
      </c>
      <c r="K8" s="2">
        <f t="shared" si="3"/>
        <v>12.995666666666667</v>
      </c>
      <c r="L8">
        <v>6.5139999999999985</v>
      </c>
      <c r="M8" s="2">
        <f t="shared" si="4"/>
        <v>5.8888333333333334</v>
      </c>
      <c r="N8">
        <v>2.6280000000000001</v>
      </c>
      <c r="O8" s="2">
        <f t="shared" si="5"/>
        <v>2.7243333333333335</v>
      </c>
      <c r="P8">
        <v>9.136000000000001</v>
      </c>
      <c r="Q8" s="2">
        <f t="shared" si="6"/>
        <v>7.0053333333333336</v>
      </c>
    </row>
    <row r="9" spans="1:17" x14ac:dyDescent="0.2">
      <c r="A9" t="s">
        <v>30</v>
      </c>
      <c r="B9">
        <v>6</v>
      </c>
      <c r="C9" s="2">
        <f t="shared" si="0"/>
        <v>6</v>
      </c>
      <c r="D9">
        <v>0</v>
      </c>
      <c r="E9" s="2">
        <f t="shared" si="7"/>
        <v>56.666666666666664</v>
      </c>
      <c r="F9">
        <v>17.817499999999999</v>
      </c>
      <c r="G9" s="2">
        <f t="shared" si="1"/>
        <v>15.302333333333332</v>
      </c>
      <c r="H9">
        <v>31.125</v>
      </c>
      <c r="I9" s="2">
        <f t="shared" si="2"/>
        <v>26.578333333333333</v>
      </c>
      <c r="J9">
        <v>11.7475</v>
      </c>
      <c r="K9" s="2">
        <f t="shared" si="3"/>
        <v>11.898166666666667</v>
      </c>
      <c r="L9">
        <v>8.7074999999999996</v>
      </c>
      <c r="M9" s="2">
        <f t="shared" si="4"/>
        <v>8.1451666666666664</v>
      </c>
      <c r="N9">
        <v>2.5449999999999999</v>
      </c>
      <c r="O9" s="2">
        <f t="shared" si="5"/>
        <v>2.4101666666666666</v>
      </c>
      <c r="P9">
        <v>6.8475000000000001</v>
      </c>
      <c r="Q9" s="2">
        <f t="shared" si="6"/>
        <v>7.4336666666666673</v>
      </c>
    </row>
    <row r="10" spans="1:17" x14ac:dyDescent="0.2">
      <c r="A10" t="s">
        <v>31</v>
      </c>
      <c r="B10">
        <v>6</v>
      </c>
      <c r="C10" s="2">
        <f t="shared" si="0"/>
        <v>4.333333333333333</v>
      </c>
      <c r="D10">
        <v>170</v>
      </c>
      <c r="E10" s="2">
        <f t="shared" si="7"/>
        <v>231.66666666666666</v>
      </c>
      <c r="F10">
        <v>9.5620000000000012</v>
      </c>
      <c r="G10" s="2">
        <f t="shared" si="1"/>
        <v>10.0465</v>
      </c>
      <c r="H10">
        <v>20.36</v>
      </c>
      <c r="I10" s="2">
        <f t="shared" si="2"/>
        <v>17.460333333333335</v>
      </c>
      <c r="J10">
        <v>13.404999999999999</v>
      </c>
      <c r="K10" s="2">
        <f t="shared" si="3"/>
        <v>11.094999999999999</v>
      </c>
      <c r="L10">
        <v>9.2140000000000022</v>
      </c>
      <c r="M10" s="2">
        <f t="shared" si="4"/>
        <v>6.9691666666666672</v>
      </c>
      <c r="N10">
        <v>2.0575000000000001</v>
      </c>
      <c r="O10" s="2">
        <f t="shared" si="5"/>
        <v>2.2934999999999999</v>
      </c>
      <c r="P10">
        <v>6.3175000000000008</v>
      </c>
      <c r="Q10" s="2">
        <f t="shared" si="6"/>
        <v>5.181</v>
      </c>
    </row>
    <row r="11" spans="1:17" x14ac:dyDescent="0.2">
      <c r="A11" t="s">
        <v>32</v>
      </c>
      <c r="B11">
        <v>1</v>
      </c>
      <c r="C11" s="2">
        <f t="shared" si="0"/>
        <v>2.3333333333333335</v>
      </c>
      <c r="D11">
        <v>525</v>
      </c>
      <c r="E11" s="2">
        <f t="shared" si="7"/>
        <v>493</v>
      </c>
      <c r="F11">
        <v>2.7600000000000002</v>
      </c>
      <c r="G11" s="2">
        <f t="shared" si="1"/>
        <v>4.2623333333333333</v>
      </c>
      <c r="H11">
        <v>0.89600000000000013</v>
      </c>
      <c r="I11" s="2">
        <f t="shared" si="2"/>
        <v>7.0936666666666666</v>
      </c>
      <c r="J11">
        <v>8.1325000000000003</v>
      </c>
      <c r="K11" s="2">
        <f t="shared" si="3"/>
        <v>8.5298333333333343</v>
      </c>
      <c r="L11">
        <v>2.9859999999999998</v>
      </c>
      <c r="M11" s="2">
        <f t="shared" si="4"/>
        <v>4.1500000000000012</v>
      </c>
      <c r="N11">
        <v>2.278</v>
      </c>
      <c r="O11" s="2">
        <f t="shared" si="5"/>
        <v>2.081</v>
      </c>
      <c r="P11">
        <v>2.3779999999999997</v>
      </c>
      <c r="Q11" s="2">
        <f t="shared" si="6"/>
        <v>3.100166666666667</v>
      </c>
    </row>
    <row r="12" spans="1:17" x14ac:dyDescent="0.2">
      <c r="A12" t="s">
        <v>33</v>
      </c>
      <c r="B12">
        <v>0</v>
      </c>
      <c r="C12" s="2">
        <f t="shared" si="0"/>
        <v>1.6666666666666667</v>
      </c>
      <c r="D12">
        <v>784</v>
      </c>
      <c r="E12" s="2">
        <f t="shared" si="7"/>
        <v>651.66666666666663</v>
      </c>
      <c r="F12">
        <v>0.46499999999999997</v>
      </c>
      <c r="G12" s="2">
        <f t="shared" si="1"/>
        <v>1.2525000000000002</v>
      </c>
      <c r="H12">
        <v>2.5000000000000001E-2</v>
      </c>
      <c r="I12" s="2">
        <f t="shared" si="2"/>
        <v>0.45100000000000007</v>
      </c>
      <c r="J12">
        <v>4.0519999999999996</v>
      </c>
      <c r="K12" s="2">
        <f t="shared" si="3"/>
        <v>5.7339999999999991</v>
      </c>
      <c r="L12">
        <v>0.25</v>
      </c>
      <c r="M12" s="2">
        <f t="shared" si="4"/>
        <v>1.0986666666666667</v>
      </c>
      <c r="N12">
        <v>1.9075</v>
      </c>
      <c r="O12" s="2">
        <f t="shared" si="5"/>
        <v>2.0076666666666667</v>
      </c>
      <c r="P12">
        <v>0.60499999999999998</v>
      </c>
      <c r="Q12" s="2">
        <f t="shared" si="6"/>
        <v>1.0396666666666665</v>
      </c>
    </row>
    <row r="13" spans="1:17" x14ac:dyDescent="0.2">
      <c r="A13" t="s">
        <v>34</v>
      </c>
      <c r="B13">
        <v>4</v>
      </c>
      <c r="C13" s="2">
        <f t="shared" si="0"/>
        <v>2.3333333333333335</v>
      </c>
      <c r="D13">
        <v>646</v>
      </c>
      <c r="E13" s="2">
        <f t="shared" si="7"/>
        <v>992.66666666666663</v>
      </c>
      <c r="F13">
        <v>0.53249999999999997</v>
      </c>
      <c r="G13" s="2">
        <f t="shared" si="1"/>
        <v>0.375</v>
      </c>
      <c r="H13">
        <v>0.43200000000000005</v>
      </c>
      <c r="I13" s="2">
        <f t="shared" si="2"/>
        <v>0.1781666666666667</v>
      </c>
      <c r="J13">
        <v>5.0175000000000001</v>
      </c>
      <c r="K13" s="2">
        <f t="shared" si="3"/>
        <v>6.7281666666666666</v>
      </c>
      <c r="L13">
        <v>0.06</v>
      </c>
      <c r="M13" s="2">
        <f t="shared" si="4"/>
        <v>0.11799999999999999</v>
      </c>
      <c r="N13">
        <v>1.8374999999999999</v>
      </c>
      <c r="O13" s="2">
        <f t="shared" si="5"/>
        <v>1.8308333333333333</v>
      </c>
      <c r="P13">
        <v>0.13599999999999998</v>
      </c>
      <c r="Q13" s="2">
        <f t="shared" si="6"/>
        <v>0.27866666666666667</v>
      </c>
    </row>
    <row r="14" spans="1:17" x14ac:dyDescent="0.2">
      <c r="A14" t="s">
        <v>35</v>
      </c>
      <c r="B14">
        <v>3</v>
      </c>
      <c r="C14" s="2">
        <f t="shared" si="0"/>
        <v>2.6666666666666665</v>
      </c>
      <c r="D14">
        <v>1548</v>
      </c>
      <c r="E14" s="2">
        <f t="shared" si="7"/>
        <v>1134</v>
      </c>
      <c r="F14">
        <v>0.1275</v>
      </c>
      <c r="G14" s="2">
        <f t="shared" si="1"/>
        <v>0.23916666666666664</v>
      </c>
      <c r="H14">
        <v>7.7499999999999999E-2</v>
      </c>
      <c r="I14" s="2">
        <f t="shared" si="2"/>
        <v>0.17983333333333337</v>
      </c>
      <c r="J14">
        <v>11.115</v>
      </c>
      <c r="K14" s="2">
        <f t="shared" si="3"/>
        <v>8.6348333333333329</v>
      </c>
      <c r="L14">
        <v>4.3999999999999997E-2</v>
      </c>
      <c r="M14" s="2">
        <f t="shared" si="4"/>
        <v>5.8833333333333328E-2</v>
      </c>
      <c r="N14">
        <v>1.7475000000000001</v>
      </c>
      <c r="O14" s="2">
        <f t="shared" si="5"/>
        <v>1.6358333333333333</v>
      </c>
      <c r="P14">
        <v>9.5000000000000001E-2</v>
      </c>
      <c r="Q14" s="2">
        <f t="shared" si="6"/>
        <v>0.10116666666666667</v>
      </c>
    </row>
    <row r="15" spans="1:17" x14ac:dyDescent="0.2">
      <c r="A15" t="s">
        <v>36</v>
      </c>
      <c r="B15">
        <v>1</v>
      </c>
      <c r="C15" s="2">
        <f t="shared" si="0"/>
        <v>2</v>
      </c>
      <c r="D15">
        <v>1208</v>
      </c>
      <c r="E15" s="2">
        <f t="shared" si="7"/>
        <v>1476.6666666666667</v>
      </c>
      <c r="F15">
        <v>5.7500000000000002E-2</v>
      </c>
      <c r="G15" s="2">
        <f t="shared" si="1"/>
        <v>7.2999999999999995E-2</v>
      </c>
      <c r="H15">
        <v>0.03</v>
      </c>
      <c r="I15" s="2">
        <f t="shared" si="2"/>
        <v>4.3333333333333335E-2</v>
      </c>
      <c r="J15">
        <v>9.7720000000000002</v>
      </c>
      <c r="K15" s="2">
        <f t="shared" si="3"/>
        <v>13.377000000000001</v>
      </c>
      <c r="L15">
        <v>7.2499999999999995E-2</v>
      </c>
      <c r="M15" s="2">
        <f t="shared" si="4"/>
        <v>5.4166666666666662E-2</v>
      </c>
      <c r="N15">
        <v>1.3225</v>
      </c>
      <c r="O15" s="2">
        <f t="shared" si="5"/>
        <v>1.4180000000000001</v>
      </c>
      <c r="P15">
        <v>7.2499999999999995E-2</v>
      </c>
      <c r="Q15" s="2">
        <f t="shared" si="6"/>
        <v>8.8499999999999981E-2</v>
      </c>
    </row>
    <row r="16" spans="1:17" x14ac:dyDescent="0.2">
      <c r="A16" t="s">
        <v>37</v>
      </c>
      <c r="B16">
        <v>2</v>
      </c>
      <c r="C16" s="2">
        <f t="shared" si="0"/>
        <v>1</v>
      </c>
      <c r="D16">
        <v>1674</v>
      </c>
      <c r="E16" s="2">
        <f t="shared" si="7"/>
        <v>2861.6666666666665</v>
      </c>
      <c r="F16">
        <v>3.4000000000000002E-2</v>
      </c>
      <c r="G16" s="2">
        <f t="shared" si="1"/>
        <v>3.5499999999999997E-2</v>
      </c>
      <c r="H16">
        <v>2.2499999999999999E-2</v>
      </c>
      <c r="I16" s="2">
        <f t="shared" si="2"/>
        <v>3.4166666666666672E-2</v>
      </c>
      <c r="J16">
        <v>19.244</v>
      </c>
      <c r="K16" s="2">
        <f t="shared" si="3"/>
        <v>16.015333333333334</v>
      </c>
      <c r="L16">
        <v>4.5999999999999999E-2</v>
      </c>
      <c r="M16" s="2">
        <f t="shared" si="4"/>
        <v>0.22950000000000004</v>
      </c>
      <c r="N16">
        <v>1.1839999999999999</v>
      </c>
      <c r="O16" s="2">
        <f t="shared" si="5"/>
        <v>1.1913333333333334</v>
      </c>
      <c r="P16">
        <v>9.8000000000000004E-2</v>
      </c>
      <c r="Q16" s="2">
        <f t="shared" si="6"/>
        <v>8.5166666666666668E-2</v>
      </c>
    </row>
    <row r="17" spans="1:17" x14ac:dyDescent="0.2">
      <c r="A17" t="s">
        <v>38</v>
      </c>
      <c r="B17">
        <v>0</v>
      </c>
      <c r="C17" s="2">
        <f t="shared" si="0"/>
        <v>1.3333333333333333</v>
      </c>
      <c r="D17">
        <v>5703</v>
      </c>
      <c r="E17" s="2">
        <f t="shared" si="7"/>
        <v>7640.666666666667</v>
      </c>
      <c r="F17">
        <v>1.4999999999999999E-2</v>
      </c>
      <c r="G17" s="2">
        <f t="shared" si="1"/>
        <v>3.5000000000000003E-2</v>
      </c>
      <c r="H17">
        <v>0.05</v>
      </c>
      <c r="I17" s="2">
        <f t="shared" si="2"/>
        <v>0.04</v>
      </c>
      <c r="J17">
        <v>19.03</v>
      </c>
      <c r="K17" s="2">
        <f t="shared" si="3"/>
        <v>17.160499999999999</v>
      </c>
      <c r="L17">
        <v>0.57000000000000006</v>
      </c>
      <c r="M17" s="2">
        <f t="shared" si="4"/>
        <v>0.23200000000000001</v>
      </c>
      <c r="N17">
        <v>1.0675000000000001</v>
      </c>
      <c r="O17" s="2">
        <f t="shared" si="5"/>
        <v>1.0188333333333335</v>
      </c>
      <c r="P17">
        <v>8.5000000000000006E-2</v>
      </c>
      <c r="Q17" s="2">
        <f t="shared" si="6"/>
        <v>8.6000000000000007E-2</v>
      </c>
    </row>
    <row r="18" spans="1:17" x14ac:dyDescent="0.2">
      <c r="A18" t="s">
        <v>39</v>
      </c>
      <c r="B18">
        <v>2</v>
      </c>
      <c r="C18" s="2">
        <f t="shared" si="0"/>
        <v>1</v>
      </c>
      <c r="D18">
        <v>15545</v>
      </c>
      <c r="E18" s="2">
        <f t="shared" si="7"/>
        <v>10453.333333333334</v>
      </c>
      <c r="F18">
        <v>5.6000000000000008E-2</v>
      </c>
      <c r="G18" s="2">
        <f t="shared" si="1"/>
        <v>3.1166666666666665E-2</v>
      </c>
      <c r="H18">
        <v>4.7500000000000001E-2</v>
      </c>
      <c r="I18" s="2">
        <f t="shared" si="2"/>
        <v>4.1833333333333333E-2</v>
      </c>
      <c r="J18">
        <v>13.2075</v>
      </c>
      <c r="K18" s="2">
        <f t="shared" si="3"/>
        <v>13.650499999999999</v>
      </c>
      <c r="L18">
        <v>0.08</v>
      </c>
      <c r="M18" s="2">
        <f t="shared" si="4"/>
        <v>0.222</v>
      </c>
      <c r="N18">
        <v>0.80500000000000005</v>
      </c>
      <c r="O18" s="2">
        <f t="shared" si="5"/>
        <v>0.98150000000000004</v>
      </c>
      <c r="P18">
        <v>7.5000000000000011E-2</v>
      </c>
      <c r="Q18" s="2">
        <f t="shared" si="6"/>
        <v>6.8666666666666668E-2</v>
      </c>
    </row>
    <row r="19" spans="1:17" x14ac:dyDescent="0.2">
      <c r="A19" t="s">
        <v>40</v>
      </c>
      <c r="B19">
        <v>1</v>
      </c>
      <c r="C19" s="2">
        <f t="shared" si="0"/>
        <v>1.3333333333333333</v>
      </c>
      <c r="D19">
        <v>10112</v>
      </c>
      <c r="E19" s="2">
        <f t="shared" si="7"/>
        <v>11024.333333333334</v>
      </c>
      <c r="F19">
        <v>2.2499999999999999E-2</v>
      </c>
      <c r="G19" s="2">
        <f t="shared" si="1"/>
        <v>3.2000000000000008E-2</v>
      </c>
      <c r="H19">
        <v>2.8000000000000004E-2</v>
      </c>
      <c r="I19" s="2">
        <f t="shared" si="2"/>
        <v>3.4500000000000003E-2</v>
      </c>
      <c r="J19">
        <v>8.7140000000000004</v>
      </c>
      <c r="K19" s="2">
        <f t="shared" si="3"/>
        <v>10.033000000000001</v>
      </c>
      <c r="L19">
        <v>1.6E-2</v>
      </c>
      <c r="M19" s="2">
        <f t="shared" si="4"/>
        <v>3.2000000000000001E-2</v>
      </c>
      <c r="N19">
        <v>1.0720000000000001</v>
      </c>
      <c r="O19" s="2">
        <f t="shared" si="5"/>
        <v>0.94900000000000018</v>
      </c>
      <c r="P19">
        <v>4.5999999999999999E-2</v>
      </c>
      <c r="Q19" s="2">
        <f t="shared" si="6"/>
        <v>8.2000000000000003E-2</v>
      </c>
    </row>
    <row r="20" spans="1:17" x14ac:dyDescent="0.2">
      <c r="A20" t="s">
        <v>41</v>
      </c>
      <c r="B20">
        <v>1</v>
      </c>
      <c r="C20" s="2">
        <f t="shared" si="0"/>
        <v>1</v>
      </c>
      <c r="D20">
        <v>7416</v>
      </c>
      <c r="E20" s="2">
        <f t="shared" si="7"/>
        <v>7498</v>
      </c>
      <c r="F20">
        <v>1.7500000000000002E-2</v>
      </c>
      <c r="G20" s="2">
        <f t="shared" si="1"/>
        <v>0.02</v>
      </c>
      <c r="H20">
        <v>2.8000000000000004E-2</v>
      </c>
      <c r="I20" s="2">
        <f t="shared" si="2"/>
        <v>2.2833333333333334E-2</v>
      </c>
      <c r="J20">
        <v>8.1775000000000002</v>
      </c>
      <c r="K20" s="2">
        <f t="shared" si="3"/>
        <v>9.7955000000000005</v>
      </c>
      <c r="L20">
        <v>0</v>
      </c>
      <c r="M20" s="2">
        <f t="shared" si="4"/>
        <v>3.4499999999999996E-2</v>
      </c>
      <c r="N20">
        <v>0.97000000000000008</v>
      </c>
      <c r="O20" s="2">
        <f t="shared" si="5"/>
        <v>1.0815000000000001</v>
      </c>
      <c r="P20">
        <v>0.125</v>
      </c>
      <c r="Q20" s="2">
        <f t="shared" si="6"/>
        <v>8.6166666666666655E-2</v>
      </c>
    </row>
    <row r="21" spans="1:17" x14ac:dyDescent="0.2">
      <c r="A21" t="s">
        <v>42</v>
      </c>
      <c r="B21">
        <v>1</v>
      </c>
      <c r="C21" s="2">
        <f t="shared" si="0"/>
        <v>1</v>
      </c>
      <c r="D21">
        <v>4966</v>
      </c>
      <c r="E21" s="2">
        <f t="shared" si="7"/>
        <v>5961.666666666667</v>
      </c>
      <c r="F21">
        <v>0.02</v>
      </c>
      <c r="G21" s="2">
        <f t="shared" si="1"/>
        <v>2.416666666666667E-2</v>
      </c>
      <c r="H21">
        <v>1.2500000000000001E-2</v>
      </c>
      <c r="I21" s="2">
        <f t="shared" si="2"/>
        <v>1.3500000000000003E-2</v>
      </c>
      <c r="J21">
        <v>12.495000000000001</v>
      </c>
      <c r="K21" s="2">
        <f t="shared" si="3"/>
        <v>11.119166666666667</v>
      </c>
      <c r="L21">
        <v>8.7499999999999994E-2</v>
      </c>
      <c r="M21" s="2">
        <f t="shared" si="4"/>
        <v>2.9166666666666664E-2</v>
      </c>
      <c r="N21">
        <v>1.2025000000000001</v>
      </c>
      <c r="O21" s="2">
        <f t="shared" si="5"/>
        <v>1.4083333333333332</v>
      </c>
      <c r="P21">
        <v>8.7499999999999994E-2</v>
      </c>
      <c r="Q21" s="2">
        <f t="shared" si="6"/>
        <v>0.21</v>
      </c>
    </row>
    <row r="22" spans="1:17" x14ac:dyDescent="0.2">
      <c r="A22" t="s">
        <v>43</v>
      </c>
      <c r="B22">
        <v>1</v>
      </c>
      <c r="C22" s="2">
        <f t="shared" si="0"/>
        <v>1.3333333333333333</v>
      </c>
      <c r="D22">
        <v>5503</v>
      </c>
      <c r="E22" s="2">
        <f t="shared" si="7"/>
        <v>6873.666666666667</v>
      </c>
      <c r="F22">
        <v>3.5000000000000003E-2</v>
      </c>
      <c r="G22" s="2">
        <f t="shared" si="1"/>
        <v>6.7500000000000004E-2</v>
      </c>
      <c r="H22">
        <v>0</v>
      </c>
      <c r="I22" s="2">
        <f t="shared" si="2"/>
        <v>9.1666666666666667E-3</v>
      </c>
      <c r="J22">
        <v>12.685</v>
      </c>
      <c r="K22" s="2">
        <f t="shared" si="3"/>
        <v>12.692666666666668</v>
      </c>
      <c r="L22">
        <v>0</v>
      </c>
      <c r="M22" s="2">
        <f t="shared" si="4"/>
        <v>5.5166666666666662E-2</v>
      </c>
      <c r="N22">
        <v>2.0524999999999998</v>
      </c>
      <c r="O22" s="2">
        <f t="shared" si="5"/>
        <v>1.6456666666666664</v>
      </c>
      <c r="P22">
        <v>0.41750000000000004</v>
      </c>
      <c r="Q22" s="2">
        <f t="shared" si="6"/>
        <v>1.079</v>
      </c>
    </row>
    <row r="23" spans="1:17" x14ac:dyDescent="0.2">
      <c r="A23" t="s">
        <v>44</v>
      </c>
      <c r="B23">
        <v>2</v>
      </c>
      <c r="C23" s="2">
        <f t="shared" si="0"/>
        <v>1.3333333333333333</v>
      </c>
      <c r="D23">
        <v>10152</v>
      </c>
      <c r="E23" s="2">
        <f t="shared" si="7"/>
        <v>7107.333333333333</v>
      </c>
      <c r="F23">
        <v>0.14750000000000002</v>
      </c>
      <c r="G23" s="2">
        <f t="shared" si="1"/>
        <v>0.1658333333333333</v>
      </c>
      <c r="H23">
        <v>1.4999999999999999E-2</v>
      </c>
      <c r="I23" s="2">
        <f t="shared" si="2"/>
        <v>5.0000000000000001E-3</v>
      </c>
      <c r="J23">
        <v>12.898000000000001</v>
      </c>
      <c r="K23" s="2">
        <f t="shared" si="3"/>
        <v>12.659333333333334</v>
      </c>
      <c r="L23">
        <v>7.8E-2</v>
      </c>
      <c r="M23" s="2">
        <f t="shared" si="4"/>
        <v>8.3500000000000005E-2</v>
      </c>
      <c r="N23">
        <v>1.6819999999999999</v>
      </c>
      <c r="O23" s="2">
        <f t="shared" si="5"/>
        <v>1.9515</v>
      </c>
      <c r="P23">
        <v>2.7320000000000002</v>
      </c>
      <c r="Q23" s="2">
        <f t="shared" si="6"/>
        <v>2.4015</v>
      </c>
    </row>
    <row r="24" spans="1:17" x14ac:dyDescent="0.2">
      <c r="A24" t="s">
        <v>45</v>
      </c>
      <c r="B24">
        <v>1</v>
      </c>
      <c r="C24" s="2">
        <f t="shared" si="0"/>
        <v>3</v>
      </c>
      <c r="D24">
        <v>5667</v>
      </c>
      <c r="E24" s="2">
        <f t="shared" si="7"/>
        <v>5824.333333333333</v>
      </c>
      <c r="F24">
        <v>0.31499999999999995</v>
      </c>
      <c r="G24" s="2">
        <f t="shared" si="1"/>
        <v>0.55549999999999999</v>
      </c>
      <c r="H24">
        <v>0</v>
      </c>
      <c r="I24" s="2">
        <f t="shared" si="2"/>
        <v>5.0000000000000001E-3</v>
      </c>
      <c r="J24">
        <v>12.395</v>
      </c>
      <c r="K24" s="2">
        <f t="shared" si="3"/>
        <v>13.735666666666667</v>
      </c>
      <c r="L24">
        <v>0.17249999999999999</v>
      </c>
      <c r="M24" s="2">
        <f t="shared" si="4"/>
        <v>8.3500000000000005E-2</v>
      </c>
      <c r="N24">
        <v>2.12</v>
      </c>
      <c r="O24" s="2">
        <f t="shared" si="5"/>
        <v>2.0773333333333333</v>
      </c>
      <c r="P24">
        <v>4.0549999999999997</v>
      </c>
      <c r="Q24" s="2">
        <f t="shared" si="6"/>
        <v>4.1703333333333328</v>
      </c>
    </row>
    <row r="25" spans="1:17" x14ac:dyDescent="0.2">
      <c r="A25" t="s">
        <v>46</v>
      </c>
      <c r="B25">
        <v>6</v>
      </c>
      <c r="C25" s="2">
        <f t="shared" si="0"/>
        <v>3.6666666666666665</v>
      </c>
      <c r="D25">
        <v>1654</v>
      </c>
      <c r="E25" s="2">
        <f t="shared" si="7"/>
        <v>3471.3333333333335</v>
      </c>
      <c r="F25">
        <v>1.204</v>
      </c>
      <c r="G25" s="2">
        <f t="shared" si="1"/>
        <v>2.101666666666667</v>
      </c>
      <c r="H25">
        <v>0</v>
      </c>
      <c r="I25" s="2">
        <f t="shared" si="2"/>
        <v>5.0000000000000001E-3</v>
      </c>
      <c r="J25">
        <v>15.914000000000001</v>
      </c>
      <c r="K25" s="2">
        <f t="shared" si="3"/>
        <v>16.023833333333332</v>
      </c>
      <c r="L25">
        <v>0</v>
      </c>
      <c r="M25" s="2">
        <f t="shared" si="4"/>
        <v>9.5499999999999988E-2</v>
      </c>
      <c r="N25">
        <v>2.4300000000000002</v>
      </c>
      <c r="O25" s="2">
        <f t="shared" si="5"/>
        <v>2.420666666666667</v>
      </c>
      <c r="P25">
        <v>5.7240000000000002</v>
      </c>
      <c r="Q25" s="2">
        <f t="shared" si="6"/>
        <v>4.535222222222222</v>
      </c>
    </row>
    <row r="26" spans="1:17" x14ac:dyDescent="0.2">
      <c r="A26" t="s">
        <v>47</v>
      </c>
      <c r="B26">
        <v>4</v>
      </c>
      <c r="C26" s="2">
        <f t="shared" si="0"/>
        <v>4</v>
      </c>
      <c r="D26">
        <v>3093</v>
      </c>
      <c r="E26" s="2">
        <f t="shared" si="7"/>
        <v>4816.333333333333</v>
      </c>
      <c r="F26">
        <v>4.7860000000000005</v>
      </c>
      <c r="G26" s="2">
        <f t="shared" si="1"/>
        <v>4.8066666666666666</v>
      </c>
      <c r="H26">
        <v>1.4999999999999999E-2</v>
      </c>
      <c r="I26" s="2">
        <f t="shared" si="2"/>
        <v>9.1666666666666667E-3</v>
      </c>
      <c r="J26">
        <v>19.762499999999999</v>
      </c>
      <c r="K26" s="2">
        <f t="shared" si="3"/>
        <v>18.922166666666669</v>
      </c>
      <c r="L26">
        <v>0.11399999999999999</v>
      </c>
      <c r="M26" s="2">
        <f t="shared" si="4"/>
        <v>6.7166666666666666E-2</v>
      </c>
      <c r="N26">
        <v>2.7119999999999997</v>
      </c>
      <c r="O26" s="2">
        <f t="shared" si="5"/>
        <v>2.5348333333333333</v>
      </c>
      <c r="P26">
        <v>3.8266666666666667</v>
      </c>
      <c r="Q26" s="2">
        <f t="shared" si="6"/>
        <v>4.4435555555555553</v>
      </c>
    </row>
    <row r="27" spans="1:17" x14ac:dyDescent="0.2">
      <c r="A27" t="s">
        <v>48</v>
      </c>
      <c r="B27">
        <v>2</v>
      </c>
      <c r="C27" s="2">
        <f t="shared" si="0"/>
        <v>3</v>
      </c>
      <c r="D27">
        <v>9702</v>
      </c>
      <c r="E27" s="2">
        <f t="shared" si="7"/>
        <v>8617.6666666666661</v>
      </c>
      <c r="F27">
        <v>8.43</v>
      </c>
      <c r="G27" s="2">
        <f t="shared" si="1"/>
        <v>7.4233333333333347</v>
      </c>
      <c r="H27">
        <v>1.2500000000000001E-2</v>
      </c>
      <c r="I27" s="2">
        <f t="shared" si="2"/>
        <v>2.1833333333333333E-2</v>
      </c>
      <c r="J27">
        <v>21.09</v>
      </c>
      <c r="K27" s="2">
        <f t="shared" si="3"/>
        <v>22.364833333333333</v>
      </c>
      <c r="L27">
        <v>8.7499999999999994E-2</v>
      </c>
      <c r="M27" s="2">
        <f t="shared" si="4"/>
        <v>0.14649999999999999</v>
      </c>
      <c r="N27">
        <v>2.4625000000000004</v>
      </c>
      <c r="O27" s="2">
        <f t="shared" si="5"/>
        <v>2.4681666666666664</v>
      </c>
      <c r="P27">
        <v>3.78</v>
      </c>
      <c r="Q27" s="2">
        <f t="shared" si="6"/>
        <v>3.1513888888888886</v>
      </c>
    </row>
    <row r="28" spans="1:17" x14ac:dyDescent="0.2">
      <c r="A28" t="s">
        <v>49</v>
      </c>
      <c r="B28">
        <v>3</v>
      </c>
      <c r="C28" s="2">
        <f t="shared" si="0"/>
        <v>3.6666666666666665</v>
      </c>
      <c r="D28">
        <v>13058</v>
      </c>
      <c r="E28" s="2">
        <f t="shared" si="7"/>
        <v>12886.333333333334</v>
      </c>
      <c r="F28">
        <v>9.0540000000000003</v>
      </c>
      <c r="G28" s="2">
        <f t="shared" si="1"/>
        <v>9.213000000000001</v>
      </c>
      <c r="H28">
        <v>3.8000000000000006E-2</v>
      </c>
      <c r="I28" s="2">
        <f t="shared" si="2"/>
        <v>3.85E-2</v>
      </c>
      <c r="J28">
        <v>26.242000000000001</v>
      </c>
      <c r="K28" s="2">
        <f t="shared" si="3"/>
        <v>23.314000000000004</v>
      </c>
      <c r="L28">
        <v>0.23800000000000004</v>
      </c>
      <c r="M28" s="2">
        <f t="shared" si="4"/>
        <v>0.26016666666666666</v>
      </c>
      <c r="N28">
        <v>2.2299999999999995</v>
      </c>
      <c r="O28" s="2">
        <f t="shared" si="5"/>
        <v>2.7341666666666669</v>
      </c>
      <c r="P28">
        <v>1.8475000000000001</v>
      </c>
      <c r="Q28" s="2">
        <f t="shared" si="6"/>
        <v>2.4858333333333333</v>
      </c>
    </row>
    <row r="29" spans="1:17" x14ac:dyDescent="0.2">
      <c r="A29" t="s">
        <v>50</v>
      </c>
      <c r="B29">
        <v>6</v>
      </c>
      <c r="C29" s="2">
        <f t="shared" si="0"/>
        <v>4.666666666666667</v>
      </c>
      <c r="D29">
        <v>15899</v>
      </c>
      <c r="E29" s="2">
        <f t="shared" si="7"/>
        <v>16283</v>
      </c>
      <c r="F29">
        <v>10.155000000000001</v>
      </c>
      <c r="G29" s="2">
        <f t="shared" si="1"/>
        <v>9.4370000000000012</v>
      </c>
      <c r="H29">
        <v>6.5000000000000002E-2</v>
      </c>
      <c r="I29" s="2">
        <f t="shared" si="2"/>
        <v>0.10600000000000002</v>
      </c>
      <c r="J29">
        <v>22.61</v>
      </c>
      <c r="K29" s="2">
        <f t="shared" si="3"/>
        <v>22.847333333333335</v>
      </c>
      <c r="L29">
        <v>0.45499999999999996</v>
      </c>
      <c r="M29" s="2">
        <f t="shared" si="4"/>
        <v>0.69299999999999995</v>
      </c>
      <c r="N29">
        <v>3.5100000000000002</v>
      </c>
      <c r="O29" s="2">
        <f t="shared" si="5"/>
        <v>2.9541666666666671</v>
      </c>
      <c r="P29">
        <v>1.8299999999999996</v>
      </c>
      <c r="Q29" s="2">
        <f t="shared" si="6"/>
        <v>2.0308333333333333</v>
      </c>
    </row>
    <row r="30" spans="1:17" x14ac:dyDescent="0.2">
      <c r="A30" t="s">
        <v>51</v>
      </c>
      <c r="B30">
        <v>5</v>
      </c>
      <c r="C30" s="2">
        <f t="shared" si="0"/>
        <v>4</v>
      </c>
      <c r="D30">
        <v>19892</v>
      </c>
      <c r="E30" s="2">
        <f t="shared" si="7"/>
        <v>19379</v>
      </c>
      <c r="F30">
        <v>9.1020000000000003</v>
      </c>
      <c r="G30" s="2">
        <f t="shared" si="1"/>
        <v>9.0476666666666663</v>
      </c>
      <c r="H30">
        <v>0.21500000000000002</v>
      </c>
      <c r="I30" s="2">
        <f t="shared" si="2"/>
        <v>1.3233333333333333</v>
      </c>
      <c r="J30">
        <v>19.689999999999998</v>
      </c>
      <c r="K30" s="2">
        <f t="shared" si="3"/>
        <v>19.013999999999999</v>
      </c>
      <c r="L30">
        <v>1.3859999999999999</v>
      </c>
      <c r="M30" s="2">
        <f t="shared" si="4"/>
        <v>1.9969999999999999</v>
      </c>
      <c r="N30">
        <v>3.1224999999999996</v>
      </c>
      <c r="O30" s="2">
        <f t="shared" si="5"/>
        <v>3.2995000000000001</v>
      </c>
      <c r="P30">
        <v>2.415</v>
      </c>
      <c r="Q30" s="2">
        <f t="shared" si="6"/>
        <v>2.8083333333333336</v>
      </c>
    </row>
    <row r="31" spans="1:17" x14ac:dyDescent="0.2">
      <c r="A31" t="s">
        <v>52</v>
      </c>
      <c r="B31">
        <v>1</v>
      </c>
      <c r="C31" s="2">
        <f t="shared" si="0"/>
        <v>2.3333333333333335</v>
      </c>
      <c r="D31">
        <v>22346</v>
      </c>
      <c r="E31" s="2">
        <f t="shared" si="7"/>
        <v>38674.333333333336</v>
      </c>
      <c r="F31">
        <v>7.8860000000000001</v>
      </c>
      <c r="G31" s="2">
        <f t="shared" si="1"/>
        <v>6.6260000000000003</v>
      </c>
      <c r="H31">
        <v>3.69</v>
      </c>
      <c r="I31" s="2">
        <f t="shared" si="2"/>
        <v>3.0866666666666664</v>
      </c>
      <c r="J31">
        <v>14.742000000000001</v>
      </c>
      <c r="K31" s="2">
        <f t="shared" si="3"/>
        <v>13.675333333333334</v>
      </c>
      <c r="L31">
        <v>4.1500000000000004</v>
      </c>
      <c r="M31" s="2">
        <f t="shared" si="4"/>
        <v>3.4870000000000001</v>
      </c>
      <c r="N31">
        <v>3.2659999999999996</v>
      </c>
      <c r="O31" s="2">
        <f t="shared" si="5"/>
        <v>3.1861666666666664</v>
      </c>
      <c r="P31">
        <v>4.1800000000000006</v>
      </c>
      <c r="Q31" s="2">
        <f t="shared" si="6"/>
        <v>3.4133333333333336</v>
      </c>
    </row>
    <row r="32" spans="1:17" x14ac:dyDescent="0.2">
      <c r="A32" t="s">
        <v>53</v>
      </c>
      <c r="B32">
        <v>1</v>
      </c>
      <c r="C32" s="2">
        <f t="shared" si="0"/>
        <v>0.66666666666666663</v>
      </c>
      <c r="D32">
        <v>73785</v>
      </c>
      <c r="E32" s="2">
        <f t="shared" si="7"/>
        <v>34443.666666666664</v>
      </c>
      <c r="F32">
        <v>2.8899999999999997</v>
      </c>
      <c r="G32" s="2">
        <f t="shared" si="1"/>
        <v>4.0644999999999998</v>
      </c>
      <c r="H32">
        <v>5.3550000000000004</v>
      </c>
      <c r="I32" s="2">
        <f t="shared" si="2"/>
        <v>4.9283333333333337</v>
      </c>
      <c r="J32">
        <v>6.5939999999999994</v>
      </c>
      <c r="K32" s="2">
        <f t="shared" si="3"/>
        <v>9.884500000000001</v>
      </c>
      <c r="L32">
        <v>4.9249999999999998</v>
      </c>
      <c r="M32" s="2">
        <f t="shared" si="4"/>
        <v>4.5483333333333329</v>
      </c>
      <c r="N32">
        <v>3.17</v>
      </c>
      <c r="O32" s="2">
        <f t="shared" si="5"/>
        <v>3.0326666666666662</v>
      </c>
      <c r="P32">
        <v>3.645</v>
      </c>
      <c r="Q32" s="2">
        <f t="shared" si="6"/>
        <v>3.4650000000000003</v>
      </c>
    </row>
    <row r="33" spans="1:17" x14ac:dyDescent="0.2">
      <c r="A33" t="s">
        <v>54</v>
      </c>
      <c r="B33">
        <v>0</v>
      </c>
      <c r="C33" s="2">
        <f t="shared" si="0"/>
        <v>2.3333333333333335</v>
      </c>
      <c r="D33">
        <v>7200</v>
      </c>
      <c r="E33" s="2">
        <f t="shared" si="7"/>
        <v>27645.666666666668</v>
      </c>
      <c r="F33">
        <v>1.4175</v>
      </c>
      <c r="G33" s="2">
        <f t="shared" si="1"/>
        <v>1.9304999999999997</v>
      </c>
      <c r="H33">
        <v>5.74</v>
      </c>
      <c r="I33" s="2">
        <f t="shared" si="2"/>
        <v>5.6423333333333332</v>
      </c>
      <c r="J33">
        <v>8.3175000000000008</v>
      </c>
      <c r="K33" s="2">
        <f t="shared" si="3"/>
        <v>10.519833333333333</v>
      </c>
      <c r="L33">
        <v>4.57</v>
      </c>
      <c r="M33" s="2">
        <f t="shared" si="4"/>
        <v>6.294999999999999</v>
      </c>
      <c r="N33">
        <v>2.6619999999999999</v>
      </c>
      <c r="O33" s="2">
        <f t="shared" si="5"/>
        <v>3.1080000000000001</v>
      </c>
      <c r="P33">
        <v>2.57</v>
      </c>
      <c r="Q33" s="2">
        <f t="shared" si="6"/>
        <v>3.9433333333333334</v>
      </c>
    </row>
    <row r="34" spans="1:17" x14ac:dyDescent="0.2">
      <c r="A34" t="s">
        <v>55</v>
      </c>
      <c r="B34">
        <v>6</v>
      </c>
      <c r="C34" s="2">
        <f t="shared" si="0"/>
        <v>6</v>
      </c>
      <c r="D34">
        <v>1952</v>
      </c>
      <c r="E34" s="2">
        <f t="shared" si="7"/>
        <v>3896.3333333333335</v>
      </c>
      <c r="F34">
        <v>1.484</v>
      </c>
      <c r="G34" s="2">
        <f t="shared" si="1"/>
        <v>1.2338333333333333</v>
      </c>
      <c r="H34">
        <v>5.8319999999999999</v>
      </c>
      <c r="I34" s="2">
        <f t="shared" si="2"/>
        <v>6.8865000000000007</v>
      </c>
      <c r="J34">
        <v>16.648</v>
      </c>
      <c r="K34" s="2">
        <f t="shared" si="3"/>
        <v>13.896000000000001</v>
      </c>
      <c r="L34">
        <v>9.3899999999999988</v>
      </c>
      <c r="M34" s="2">
        <f t="shared" si="4"/>
        <v>7.4574999999999996</v>
      </c>
      <c r="N34">
        <v>3.4919999999999995</v>
      </c>
      <c r="O34" s="2">
        <f t="shared" si="5"/>
        <v>2.9146666666666667</v>
      </c>
      <c r="P34">
        <v>5.6150000000000002</v>
      </c>
      <c r="Q34" s="2">
        <f t="shared" si="6"/>
        <v>5.1896666666666667</v>
      </c>
    </row>
    <row r="35" spans="1:17" x14ac:dyDescent="0.2">
      <c r="A35" t="s">
        <v>56</v>
      </c>
      <c r="B35">
        <v>12</v>
      </c>
      <c r="C35" s="2">
        <f t="shared" si="0"/>
        <v>8.6666666666666661</v>
      </c>
      <c r="D35">
        <v>2537</v>
      </c>
      <c r="E35" s="2">
        <f t="shared" si="7"/>
        <v>3664.3333333333335</v>
      </c>
      <c r="F35">
        <v>0.79999999999999993</v>
      </c>
      <c r="G35" s="2">
        <f t="shared" si="1"/>
        <v>1.0438333333333334</v>
      </c>
      <c r="H35">
        <v>9.0875000000000004</v>
      </c>
      <c r="I35" s="2">
        <f t="shared" si="2"/>
        <v>7.5256666666666661</v>
      </c>
      <c r="J35">
        <v>16.7225</v>
      </c>
      <c r="K35" s="2">
        <f t="shared" si="3"/>
        <v>16.1785</v>
      </c>
      <c r="L35">
        <v>8.4124999999999996</v>
      </c>
      <c r="M35" s="2">
        <f t="shared" si="4"/>
        <v>8.1866666666666656</v>
      </c>
      <c r="N35">
        <v>2.59</v>
      </c>
      <c r="O35" s="2">
        <f t="shared" si="5"/>
        <v>3.277333333333333</v>
      </c>
      <c r="P35">
        <v>7.3840000000000003</v>
      </c>
      <c r="Q35" s="2">
        <f t="shared" si="6"/>
        <v>6.8171666666666679</v>
      </c>
    </row>
    <row r="36" spans="1:17" x14ac:dyDescent="0.2">
      <c r="A36" t="s">
        <v>57</v>
      </c>
      <c r="B36">
        <v>8</v>
      </c>
      <c r="C36" s="2">
        <f t="shared" si="0"/>
        <v>8.3333333333333339</v>
      </c>
      <c r="D36">
        <v>6504</v>
      </c>
      <c r="E36" s="2">
        <f t="shared" si="7"/>
        <v>5188</v>
      </c>
      <c r="F36">
        <v>0.84750000000000003</v>
      </c>
      <c r="G36" s="2">
        <f t="shared" si="1"/>
        <v>0.83516666666666672</v>
      </c>
      <c r="H36">
        <v>7.6574999999999989</v>
      </c>
      <c r="I36" s="2">
        <f t="shared" si="2"/>
        <v>6.5536666666666656</v>
      </c>
      <c r="J36">
        <v>15.164999999999999</v>
      </c>
      <c r="K36" s="2">
        <f t="shared" si="3"/>
        <v>15.2485</v>
      </c>
      <c r="L36">
        <v>6.7575000000000003</v>
      </c>
      <c r="M36" s="2">
        <f t="shared" si="4"/>
        <v>6.0558333333333332</v>
      </c>
      <c r="N36">
        <v>3.75</v>
      </c>
      <c r="O36" s="2">
        <f t="shared" si="5"/>
        <v>3.2724999999999995</v>
      </c>
      <c r="P36">
        <v>7.4525000000000006</v>
      </c>
      <c r="Q36" s="2">
        <f t="shared" si="6"/>
        <v>6.176166666666667</v>
      </c>
    </row>
    <row r="37" spans="1:17" x14ac:dyDescent="0.2">
      <c r="A37" t="s">
        <v>58</v>
      </c>
      <c r="B37">
        <v>5</v>
      </c>
      <c r="C37" s="2">
        <f t="shared" si="0"/>
        <v>5.333333333333333</v>
      </c>
      <c r="D37">
        <v>6523</v>
      </c>
      <c r="E37" s="2">
        <f t="shared" si="7"/>
        <v>6459.333333333333</v>
      </c>
      <c r="F37">
        <v>0.85799999999999998</v>
      </c>
      <c r="G37" s="2">
        <f t="shared" si="1"/>
        <v>0.89516666666666678</v>
      </c>
      <c r="H37">
        <v>2.9160000000000004</v>
      </c>
      <c r="I37" s="2">
        <f t="shared" si="2"/>
        <v>3.5936666666666661</v>
      </c>
      <c r="J37">
        <v>13.858000000000001</v>
      </c>
      <c r="K37" s="2">
        <f t="shared" si="3"/>
        <v>13.202666666666667</v>
      </c>
      <c r="L37">
        <v>2.9974999999999996</v>
      </c>
      <c r="M37" s="2">
        <f t="shared" si="4"/>
        <v>3.5203333333333333</v>
      </c>
      <c r="N37">
        <v>3.4775</v>
      </c>
      <c r="O37" s="2">
        <f t="shared" si="5"/>
        <v>3.407833333333333</v>
      </c>
      <c r="P37">
        <v>3.6920000000000002</v>
      </c>
      <c r="Q37" s="2">
        <f t="shared" si="6"/>
        <v>4.0292777777777777</v>
      </c>
    </row>
    <row r="38" spans="1:17" x14ac:dyDescent="0.2">
      <c r="A38" t="s">
        <v>59</v>
      </c>
      <c r="B38">
        <v>3</v>
      </c>
      <c r="C38" s="2">
        <f t="shared" si="0"/>
        <v>3.6666666666666665</v>
      </c>
      <c r="D38">
        <v>6351</v>
      </c>
      <c r="E38" s="2">
        <f t="shared" si="7"/>
        <v>5817.333333333333</v>
      </c>
      <c r="F38">
        <v>0.98</v>
      </c>
      <c r="G38" s="2">
        <f t="shared" si="1"/>
        <v>0.96</v>
      </c>
      <c r="H38">
        <v>0.20749999999999999</v>
      </c>
      <c r="I38" s="2">
        <f t="shared" si="2"/>
        <v>1.0903333333333334</v>
      </c>
      <c r="J38">
        <v>10.585000000000001</v>
      </c>
      <c r="K38" s="2">
        <f t="shared" si="3"/>
        <v>13.979333333333335</v>
      </c>
      <c r="L38">
        <v>0.80600000000000005</v>
      </c>
      <c r="M38" s="2">
        <f t="shared" si="4"/>
        <v>1.3019999999999998</v>
      </c>
      <c r="N38">
        <v>2.996</v>
      </c>
      <c r="O38" s="2">
        <f t="shared" si="5"/>
        <v>3.0278333333333336</v>
      </c>
      <c r="P38">
        <v>0.94333333333333336</v>
      </c>
      <c r="Q38" s="2">
        <f t="shared" si="6"/>
        <v>1.7251111111111113</v>
      </c>
    </row>
    <row r="39" spans="1:17" x14ac:dyDescent="0.2">
      <c r="A39" t="s">
        <v>60</v>
      </c>
      <c r="B39">
        <v>3</v>
      </c>
      <c r="C39" s="2">
        <f t="shared" si="0"/>
        <v>3.6666666666666665</v>
      </c>
      <c r="D39">
        <v>4578</v>
      </c>
      <c r="E39" s="2">
        <f t="shared" si="7"/>
        <v>4331.666666666667</v>
      </c>
      <c r="F39">
        <v>1.042</v>
      </c>
      <c r="G39" s="2">
        <f t="shared" si="1"/>
        <v>1.2773333333333334</v>
      </c>
      <c r="H39">
        <v>0.14750000000000002</v>
      </c>
      <c r="I39" s="2">
        <f t="shared" si="2"/>
        <v>0.15433333333333332</v>
      </c>
      <c r="J39">
        <v>17.494999999999997</v>
      </c>
      <c r="K39" s="2">
        <f t="shared" si="3"/>
        <v>19.744666666666667</v>
      </c>
      <c r="L39">
        <v>0.10249999999999999</v>
      </c>
      <c r="M39" s="2">
        <f t="shared" si="4"/>
        <v>0.34949999999999998</v>
      </c>
      <c r="N39">
        <v>2.6100000000000003</v>
      </c>
      <c r="O39" s="2">
        <f t="shared" si="5"/>
        <v>2.6346666666666665</v>
      </c>
      <c r="P39">
        <v>0.54</v>
      </c>
      <c r="Q39" s="2">
        <f t="shared" si="6"/>
        <v>0.62277777777777776</v>
      </c>
    </row>
    <row r="40" spans="1:17" x14ac:dyDescent="0.2">
      <c r="A40" t="s">
        <v>61</v>
      </c>
      <c r="B40">
        <v>5</v>
      </c>
      <c r="C40" s="2">
        <f t="shared" si="0"/>
        <v>4.333333333333333</v>
      </c>
      <c r="D40">
        <v>2066</v>
      </c>
      <c r="E40" s="2">
        <f t="shared" si="7"/>
        <v>2948.3333333333335</v>
      </c>
      <c r="F40">
        <v>1.81</v>
      </c>
      <c r="G40" s="2">
        <f t="shared" si="1"/>
        <v>3.8315000000000001</v>
      </c>
      <c r="H40">
        <v>0.10799999999999998</v>
      </c>
      <c r="I40" s="2">
        <f t="shared" si="2"/>
        <v>0.29849999999999999</v>
      </c>
      <c r="J40">
        <v>31.154000000000003</v>
      </c>
      <c r="K40" s="2">
        <f t="shared" si="3"/>
        <v>25.633833333333332</v>
      </c>
      <c r="L40">
        <v>0.13999999999999999</v>
      </c>
      <c r="M40" s="2">
        <f t="shared" si="4"/>
        <v>0.105</v>
      </c>
      <c r="N40">
        <v>2.298</v>
      </c>
      <c r="O40" s="2">
        <f t="shared" si="5"/>
        <v>2.9026666666666667</v>
      </c>
      <c r="P40">
        <v>0.38499999999999995</v>
      </c>
      <c r="Q40" s="2">
        <f t="shared" si="6"/>
        <v>0.47083333333333338</v>
      </c>
    </row>
    <row r="41" spans="1:17" x14ac:dyDescent="0.2">
      <c r="A41" t="s">
        <v>62</v>
      </c>
      <c r="B41">
        <v>5</v>
      </c>
      <c r="C41" s="2">
        <f t="shared" si="0"/>
        <v>7</v>
      </c>
      <c r="D41">
        <v>2201</v>
      </c>
      <c r="E41" s="2">
        <f t="shared" si="7"/>
        <v>2707.6666666666665</v>
      </c>
      <c r="F41">
        <v>8.6425000000000001</v>
      </c>
      <c r="G41" s="2">
        <f t="shared" si="1"/>
        <v>9.5534999999999997</v>
      </c>
      <c r="H41">
        <v>0.64</v>
      </c>
      <c r="I41" s="2">
        <f t="shared" si="2"/>
        <v>4.070666666666666</v>
      </c>
      <c r="J41">
        <v>28.252500000000001</v>
      </c>
      <c r="K41" s="2">
        <f t="shared" si="3"/>
        <v>26.024833333333333</v>
      </c>
      <c r="L41">
        <v>7.2499999999999995E-2</v>
      </c>
      <c r="M41" s="2">
        <f t="shared" si="4"/>
        <v>0.21999999999999997</v>
      </c>
      <c r="N41">
        <v>3.8</v>
      </c>
      <c r="O41" s="2">
        <f t="shared" si="5"/>
        <v>3.3493333333333335</v>
      </c>
      <c r="P41">
        <v>0.48749999999999999</v>
      </c>
      <c r="Q41" s="2">
        <f t="shared" si="6"/>
        <v>0.59149999999999991</v>
      </c>
    </row>
    <row r="42" spans="1:17" x14ac:dyDescent="0.2">
      <c r="A42" t="s">
        <v>63</v>
      </c>
      <c r="B42">
        <v>11</v>
      </c>
      <c r="C42" s="2">
        <f t="shared" si="0"/>
        <v>11.333333333333334</v>
      </c>
      <c r="D42">
        <v>3856</v>
      </c>
      <c r="E42" s="2">
        <f t="shared" si="7"/>
        <v>2926.6666666666665</v>
      </c>
      <c r="F42">
        <v>18.207999999999998</v>
      </c>
      <c r="G42" s="2">
        <f t="shared" si="1"/>
        <v>13.156833333333331</v>
      </c>
      <c r="H42">
        <v>11.463999999999999</v>
      </c>
      <c r="I42" s="2">
        <f t="shared" si="2"/>
        <v>12.177166666666665</v>
      </c>
      <c r="J42">
        <v>18.667999999999999</v>
      </c>
      <c r="K42" s="2">
        <f t="shared" si="3"/>
        <v>18.969333333333335</v>
      </c>
      <c r="L42">
        <v>0.44750000000000001</v>
      </c>
      <c r="M42" s="2">
        <f t="shared" si="4"/>
        <v>0.47133333333333338</v>
      </c>
      <c r="N42">
        <v>3.95</v>
      </c>
      <c r="O42" s="2">
        <f t="shared" si="5"/>
        <v>3.4691666666666663</v>
      </c>
      <c r="P42">
        <v>0.90199999999999991</v>
      </c>
      <c r="Q42" s="2">
        <f t="shared" si="6"/>
        <v>1.3231666666666666</v>
      </c>
    </row>
    <row r="43" spans="1:17" x14ac:dyDescent="0.2">
      <c r="A43" t="s">
        <v>64</v>
      </c>
      <c r="B43">
        <v>18</v>
      </c>
      <c r="C43" s="2">
        <f t="shared" si="0"/>
        <v>12.666666666666666</v>
      </c>
      <c r="D43">
        <v>2723</v>
      </c>
      <c r="E43" s="2">
        <f t="shared" si="7"/>
        <v>2680.3333333333335</v>
      </c>
      <c r="F43">
        <v>12.62</v>
      </c>
      <c r="G43" s="2">
        <f t="shared" si="1"/>
        <v>13.080999999999998</v>
      </c>
      <c r="H43">
        <v>24.427499999999998</v>
      </c>
      <c r="I43" s="2">
        <f t="shared" si="2"/>
        <v>15.75633333333333</v>
      </c>
      <c r="J43">
        <v>9.9875000000000007</v>
      </c>
      <c r="K43" s="2">
        <f t="shared" si="3"/>
        <v>12.867833333333332</v>
      </c>
      <c r="L43">
        <v>0.89400000000000013</v>
      </c>
      <c r="M43" s="2">
        <f t="shared" si="4"/>
        <v>1.2504999999999999</v>
      </c>
      <c r="N43">
        <v>2.6574999999999998</v>
      </c>
      <c r="O43" s="2">
        <f t="shared" si="5"/>
        <v>3.3641666666666663</v>
      </c>
      <c r="P43">
        <v>2.58</v>
      </c>
      <c r="Q43" s="2">
        <f t="shared" si="6"/>
        <v>2.7531666666666665</v>
      </c>
    </row>
    <row r="44" spans="1:17" x14ac:dyDescent="0.2">
      <c r="A44" t="s">
        <v>65</v>
      </c>
      <c r="B44">
        <v>9</v>
      </c>
      <c r="C44" s="2">
        <f t="shared" si="0"/>
        <v>13.666666666666666</v>
      </c>
      <c r="D44">
        <v>1462</v>
      </c>
      <c r="E44" s="2">
        <f t="shared" si="7"/>
        <v>1934.3333333333333</v>
      </c>
      <c r="F44">
        <v>8.4149999999999991</v>
      </c>
      <c r="G44" s="2">
        <f t="shared" si="1"/>
        <v>8.1949999999999985</v>
      </c>
      <c r="H44">
        <v>11.3775</v>
      </c>
      <c r="I44" s="2">
        <f t="shared" si="2"/>
        <v>12.79</v>
      </c>
      <c r="J44">
        <v>9.9480000000000004</v>
      </c>
      <c r="K44" s="2">
        <f t="shared" si="3"/>
        <v>12.017388888888888</v>
      </c>
      <c r="L44">
        <v>2.41</v>
      </c>
      <c r="M44" s="2">
        <f t="shared" si="4"/>
        <v>2.4296666666666664</v>
      </c>
      <c r="N44">
        <v>3.4849999999999999</v>
      </c>
      <c r="O44" s="2">
        <f t="shared" si="5"/>
        <v>3.5441666666666669</v>
      </c>
      <c r="P44">
        <v>4.7774999999999999</v>
      </c>
      <c r="Q44" s="2">
        <f t="shared" si="6"/>
        <v>5.7758333333333338</v>
      </c>
    </row>
    <row r="45" spans="1:17" x14ac:dyDescent="0.2">
      <c r="A45" t="s">
        <v>66</v>
      </c>
      <c r="B45">
        <v>14</v>
      </c>
      <c r="C45" s="2">
        <f t="shared" si="0"/>
        <v>9.3333333333333339</v>
      </c>
      <c r="D45">
        <v>1618</v>
      </c>
      <c r="E45" s="2">
        <f t="shared" si="7"/>
        <v>1405</v>
      </c>
      <c r="F45">
        <v>3.55</v>
      </c>
      <c r="G45" s="2">
        <f t="shared" si="1"/>
        <v>4.3950000000000005</v>
      </c>
      <c r="H45">
        <v>2.5649999999999999</v>
      </c>
      <c r="I45" s="2">
        <f t="shared" si="2"/>
        <v>5.028833333333333</v>
      </c>
      <c r="J45">
        <v>16.116666666666664</v>
      </c>
      <c r="K45" s="2">
        <f t="shared" si="3"/>
        <v>13.012222222222221</v>
      </c>
      <c r="L45">
        <v>3.9849999999999999</v>
      </c>
      <c r="M45" s="2">
        <f t="shared" si="4"/>
        <v>5.5483333333333329</v>
      </c>
      <c r="N45">
        <v>4.49</v>
      </c>
      <c r="O45" s="2">
        <f t="shared" si="5"/>
        <v>4.4683333333333328</v>
      </c>
      <c r="P45">
        <v>9.9699999999999989</v>
      </c>
      <c r="Q45" s="2">
        <f t="shared" si="6"/>
        <v>8.0598333333333319</v>
      </c>
    </row>
    <row r="46" spans="1:17" x14ac:dyDescent="0.2">
      <c r="A46" t="s">
        <v>67</v>
      </c>
      <c r="B46">
        <v>5</v>
      </c>
      <c r="C46" s="2">
        <f t="shared" si="0"/>
        <v>9.3333333333333339</v>
      </c>
      <c r="D46">
        <v>1135</v>
      </c>
      <c r="E46" s="2">
        <f t="shared" si="7"/>
        <v>1162.3333333333333</v>
      </c>
      <c r="F46">
        <v>1.22</v>
      </c>
      <c r="G46" s="2">
        <f t="shared" si="1"/>
        <v>1.8524999999999998</v>
      </c>
      <c r="H46">
        <v>1.1440000000000001</v>
      </c>
      <c r="I46" s="2">
        <f t="shared" si="2"/>
        <v>1.7363333333333333</v>
      </c>
      <c r="J46">
        <v>12.972</v>
      </c>
      <c r="K46" s="2">
        <f t="shared" si="3"/>
        <v>14.870388888888888</v>
      </c>
      <c r="L46">
        <v>10.25</v>
      </c>
      <c r="M46" s="2">
        <f t="shared" si="4"/>
        <v>7.9941666666666658</v>
      </c>
      <c r="N46">
        <v>5.43</v>
      </c>
      <c r="O46" s="2">
        <f t="shared" si="5"/>
        <v>4.935833333333334</v>
      </c>
      <c r="P46">
        <v>9.4319999999999986</v>
      </c>
      <c r="Q46" s="2">
        <f t="shared" si="6"/>
        <v>7.9289999999999994</v>
      </c>
    </row>
    <row r="47" spans="1:17" x14ac:dyDescent="0.2">
      <c r="A47" t="s">
        <v>68</v>
      </c>
      <c r="B47">
        <v>9</v>
      </c>
      <c r="C47" s="2">
        <f t="shared" si="0"/>
        <v>6.666666666666667</v>
      </c>
      <c r="D47">
        <v>734</v>
      </c>
      <c r="E47" s="2">
        <f t="shared" si="7"/>
        <v>738.33333333333337</v>
      </c>
      <c r="F47">
        <v>0.78749999999999998</v>
      </c>
      <c r="G47" s="2">
        <f t="shared" si="1"/>
        <v>0.76999999999999991</v>
      </c>
      <c r="H47">
        <v>1.5</v>
      </c>
      <c r="I47" s="2">
        <f t="shared" si="2"/>
        <v>1.2696666666666667</v>
      </c>
      <c r="J47">
        <v>15.522500000000001</v>
      </c>
      <c r="K47" s="2">
        <f t="shared" si="3"/>
        <v>16.914833333333334</v>
      </c>
      <c r="L47">
        <v>9.7474999999999987</v>
      </c>
      <c r="M47" s="2">
        <f t="shared" si="4"/>
        <v>8.3133333333333326</v>
      </c>
      <c r="N47">
        <v>4.8875000000000002</v>
      </c>
      <c r="O47" s="2">
        <f t="shared" si="5"/>
        <v>5.4341666666666661</v>
      </c>
      <c r="P47">
        <v>4.3849999999999998</v>
      </c>
      <c r="Q47" s="2">
        <f t="shared" si="6"/>
        <v>5.3314999999999992</v>
      </c>
    </row>
    <row r="48" spans="1:17" x14ac:dyDescent="0.2">
      <c r="A48" t="s">
        <v>69</v>
      </c>
      <c r="B48">
        <v>6</v>
      </c>
      <c r="C48" s="2">
        <f t="shared" si="0"/>
        <v>6.333333333333333</v>
      </c>
      <c r="D48">
        <v>346</v>
      </c>
      <c r="E48" s="2">
        <f t="shared" si="7"/>
        <v>415.33333333333331</v>
      </c>
      <c r="F48">
        <v>0.30249999999999999</v>
      </c>
      <c r="G48" s="2">
        <f t="shared" si="1"/>
        <v>0.42199999999999993</v>
      </c>
      <c r="H48">
        <v>1.165</v>
      </c>
      <c r="I48" s="2">
        <f t="shared" si="2"/>
        <v>1.1796666666666666</v>
      </c>
      <c r="J48">
        <v>22.25</v>
      </c>
      <c r="K48" s="2">
        <f t="shared" si="3"/>
        <v>19.183499999999999</v>
      </c>
      <c r="L48">
        <v>4.9424999999999999</v>
      </c>
      <c r="M48" s="2">
        <f t="shared" si="4"/>
        <v>5.2566666666666659</v>
      </c>
      <c r="N48">
        <v>5.9850000000000003</v>
      </c>
      <c r="O48" s="2">
        <f t="shared" si="5"/>
        <v>5.5415000000000001</v>
      </c>
      <c r="P48">
        <v>2.1774999999999998</v>
      </c>
      <c r="Q48" s="2">
        <f t="shared" si="6"/>
        <v>2.4508333333333332</v>
      </c>
    </row>
    <row r="49" spans="1:17" x14ac:dyDescent="0.2">
      <c r="A49" t="s">
        <v>70</v>
      </c>
      <c r="B49">
        <v>4</v>
      </c>
      <c r="C49" s="2">
        <f t="shared" si="0"/>
        <v>4</v>
      </c>
      <c r="D49">
        <v>166</v>
      </c>
      <c r="E49" s="2">
        <f t="shared" si="7"/>
        <v>266</v>
      </c>
      <c r="F49">
        <v>0.17599999999999999</v>
      </c>
      <c r="G49" s="2">
        <f t="shared" si="1"/>
        <v>0.25783333333333336</v>
      </c>
      <c r="H49">
        <v>0.874</v>
      </c>
      <c r="I49" s="2">
        <f t="shared" si="2"/>
        <v>0.96799999999999997</v>
      </c>
      <c r="J49">
        <v>19.777999999999999</v>
      </c>
      <c r="K49" s="2">
        <f t="shared" si="3"/>
        <v>18.987666666666666</v>
      </c>
      <c r="L49">
        <v>1.0799999999999998</v>
      </c>
      <c r="M49" s="2">
        <f t="shared" si="4"/>
        <v>2.1283333333333334</v>
      </c>
      <c r="N49">
        <v>5.7520000000000007</v>
      </c>
      <c r="O49" s="2">
        <f t="shared" si="5"/>
        <v>5.2673333333333341</v>
      </c>
      <c r="P49">
        <v>0.79</v>
      </c>
      <c r="Q49" s="2">
        <f t="shared" si="6"/>
        <v>1.1431666666666664</v>
      </c>
    </row>
    <row r="50" spans="1:17" x14ac:dyDescent="0.2">
      <c r="A50" t="s">
        <v>71</v>
      </c>
      <c r="B50">
        <v>2</v>
      </c>
      <c r="C50" s="2">
        <f t="shared" si="0"/>
        <v>3</v>
      </c>
      <c r="D50">
        <v>286</v>
      </c>
      <c r="E50" s="2">
        <f t="shared" si="7"/>
        <v>523.66666666666663</v>
      </c>
      <c r="F50">
        <v>0.29500000000000004</v>
      </c>
      <c r="G50" s="2">
        <f t="shared" si="1"/>
        <v>0.28566666666666668</v>
      </c>
      <c r="H50">
        <v>0.86499999999999999</v>
      </c>
      <c r="I50" s="2">
        <f t="shared" si="2"/>
        <v>0.7543333333333333</v>
      </c>
      <c r="J50">
        <v>14.935</v>
      </c>
      <c r="K50" s="2">
        <f t="shared" si="3"/>
        <v>16.639666666666667</v>
      </c>
      <c r="L50">
        <v>0.36249999999999993</v>
      </c>
      <c r="M50" s="2">
        <f t="shared" si="4"/>
        <v>0.61349999999999993</v>
      </c>
      <c r="N50">
        <v>4.0650000000000004</v>
      </c>
      <c r="O50" s="2">
        <f t="shared" si="5"/>
        <v>4.5476666666666672</v>
      </c>
      <c r="P50">
        <v>0.46199999999999991</v>
      </c>
      <c r="Q50" s="2">
        <f t="shared" si="6"/>
        <v>0.61399999999999999</v>
      </c>
    </row>
    <row r="51" spans="1:17" x14ac:dyDescent="0.2">
      <c r="A51" t="s">
        <v>72</v>
      </c>
      <c r="B51">
        <v>3</v>
      </c>
      <c r="C51" s="2">
        <f t="shared" si="0"/>
        <v>3</v>
      </c>
      <c r="D51">
        <v>1119</v>
      </c>
      <c r="E51" s="2">
        <f t="shared" si="7"/>
        <v>895.66666666666663</v>
      </c>
      <c r="F51">
        <v>0.38600000000000001</v>
      </c>
      <c r="G51" s="2">
        <f t="shared" si="1"/>
        <v>0.31866666666666671</v>
      </c>
      <c r="H51">
        <v>0.52400000000000002</v>
      </c>
      <c r="I51" s="2">
        <f t="shared" si="2"/>
        <v>0.61716666666666675</v>
      </c>
      <c r="J51">
        <v>15.206</v>
      </c>
      <c r="K51" s="2">
        <f t="shared" si="3"/>
        <v>18.596166666666665</v>
      </c>
      <c r="L51">
        <v>0.39799999999999996</v>
      </c>
      <c r="M51" s="2">
        <f t="shared" si="4"/>
        <v>0.2535</v>
      </c>
      <c r="N51">
        <v>3.8260000000000005</v>
      </c>
      <c r="O51" s="2">
        <f t="shared" si="5"/>
        <v>3.4145000000000003</v>
      </c>
      <c r="P51">
        <v>0.59</v>
      </c>
      <c r="Q51" s="2">
        <f t="shared" si="6"/>
        <v>0.45983333333333326</v>
      </c>
    </row>
    <row r="52" spans="1:17" x14ac:dyDescent="0.2">
      <c r="A52" t="s">
        <v>73</v>
      </c>
      <c r="B52">
        <v>4</v>
      </c>
      <c r="C52" s="2">
        <f t="shared" si="0"/>
        <v>4</v>
      </c>
      <c r="D52">
        <v>1282</v>
      </c>
      <c r="E52" s="2">
        <f t="shared" si="7"/>
        <v>1426</v>
      </c>
      <c r="F52">
        <v>0.27500000000000002</v>
      </c>
      <c r="G52" s="2">
        <f t="shared" si="1"/>
        <v>0.58116666666666672</v>
      </c>
      <c r="H52">
        <v>0.46250000000000002</v>
      </c>
      <c r="I52" s="2">
        <f t="shared" si="2"/>
        <v>0.75216666666666665</v>
      </c>
      <c r="J52">
        <v>25.647500000000001</v>
      </c>
      <c r="K52" s="2">
        <f t="shared" si="3"/>
        <v>20.265333333333331</v>
      </c>
      <c r="L52">
        <v>0</v>
      </c>
      <c r="M52" s="2">
        <f t="shared" si="4"/>
        <v>0.16516666666666666</v>
      </c>
      <c r="N52">
        <v>2.3525</v>
      </c>
      <c r="O52" s="2">
        <f t="shared" si="5"/>
        <v>3.0603333333333338</v>
      </c>
      <c r="P52">
        <v>0.32750000000000001</v>
      </c>
      <c r="Q52" s="2">
        <f t="shared" si="6"/>
        <v>0.41666666666666669</v>
      </c>
    </row>
    <row r="53" spans="1:17" x14ac:dyDescent="0.2">
      <c r="A53" t="s">
        <v>74</v>
      </c>
      <c r="B53">
        <v>5</v>
      </c>
      <c r="C53" s="2">
        <f t="shared" si="0"/>
        <v>4</v>
      </c>
      <c r="D53">
        <v>1877</v>
      </c>
      <c r="E53" s="2">
        <f t="shared" si="7"/>
        <v>1878</v>
      </c>
      <c r="F53">
        <v>1.0825</v>
      </c>
      <c r="G53" s="2">
        <f t="shared" si="1"/>
        <v>1.7338333333333331</v>
      </c>
      <c r="H53">
        <v>1.27</v>
      </c>
      <c r="I53" s="2">
        <f t="shared" si="2"/>
        <v>3.0368333333333335</v>
      </c>
      <c r="J53">
        <v>19.942499999999999</v>
      </c>
      <c r="K53" s="2">
        <f t="shared" si="3"/>
        <v>20.983333333333334</v>
      </c>
      <c r="L53">
        <v>9.7500000000000003E-2</v>
      </c>
      <c r="M53" s="2">
        <f t="shared" si="4"/>
        <v>0.12049999999999998</v>
      </c>
      <c r="N53">
        <v>3.0024999999999995</v>
      </c>
      <c r="O53" s="2">
        <f t="shared" si="5"/>
        <v>2.7974999999999994</v>
      </c>
      <c r="P53">
        <v>0.33250000000000002</v>
      </c>
      <c r="Q53" s="2">
        <f t="shared" si="6"/>
        <v>0.37533333333333335</v>
      </c>
    </row>
    <row r="54" spans="1:17" x14ac:dyDescent="0.2">
      <c r="A54" t="s">
        <v>75</v>
      </c>
      <c r="B54">
        <v>3</v>
      </c>
      <c r="C54" s="2">
        <f t="shared" si="0"/>
        <v>6</v>
      </c>
      <c r="D54">
        <v>2475</v>
      </c>
      <c r="E54" s="2">
        <f t="shared" si="7"/>
        <v>2211</v>
      </c>
      <c r="F54">
        <v>3.8439999999999999</v>
      </c>
      <c r="G54" s="2">
        <f t="shared" si="1"/>
        <v>4.9204999999999997</v>
      </c>
      <c r="H54">
        <v>7.3780000000000001</v>
      </c>
      <c r="I54" s="2">
        <f t="shared" si="2"/>
        <v>9.4751666666666665</v>
      </c>
      <c r="J54">
        <v>17.360000000000003</v>
      </c>
      <c r="K54" s="2">
        <f t="shared" si="3"/>
        <v>16.565833333333334</v>
      </c>
      <c r="L54">
        <v>0.26399999999999996</v>
      </c>
      <c r="M54" s="2">
        <f t="shared" si="4"/>
        <v>0.29049999999999998</v>
      </c>
      <c r="N54">
        <v>3.0374999999999996</v>
      </c>
      <c r="O54" s="2">
        <f t="shared" si="5"/>
        <v>2.8516666666666666</v>
      </c>
      <c r="P54">
        <v>0.46600000000000003</v>
      </c>
      <c r="Q54" s="2">
        <f t="shared" si="6"/>
        <v>0.91700000000000015</v>
      </c>
    </row>
    <row r="55" spans="1:17" x14ac:dyDescent="0.2">
      <c r="A55" t="s">
        <v>76</v>
      </c>
      <c r="B55">
        <v>10</v>
      </c>
      <c r="C55" s="2">
        <f t="shared" si="0"/>
        <v>6.666666666666667</v>
      </c>
      <c r="D55">
        <v>2281</v>
      </c>
      <c r="E55" s="2">
        <f t="shared" si="7"/>
        <v>2149.3333333333335</v>
      </c>
      <c r="F55">
        <v>9.8349999999999991</v>
      </c>
      <c r="G55" s="2">
        <f t="shared" si="1"/>
        <v>8.5038333333333327</v>
      </c>
      <c r="H55">
        <v>19.7775</v>
      </c>
      <c r="I55" s="2">
        <f t="shared" si="2"/>
        <v>16.831</v>
      </c>
      <c r="J55">
        <v>12.395</v>
      </c>
      <c r="K55" s="2">
        <f t="shared" si="3"/>
        <v>13.135</v>
      </c>
      <c r="L55">
        <v>0.51</v>
      </c>
      <c r="M55" s="2">
        <f t="shared" si="4"/>
        <v>0.49466666666666664</v>
      </c>
      <c r="N55">
        <v>2.5149999999999997</v>
      </c>
      <c r="O55" s="2">
        <f t="shared" si="5"/>
        <v>2.7266666666666666</v>
      </c>
      <c r="P55">
        <v>1.9525000000000001</v>
      </c>
      <c r="Q55" s="2">
        <f t="shared" si="6"/>
        <v>2.0794999999999999</v>
      </c>
    </row>
    <row r="56" spans="1:17" x14ac:dyDescent="0.2">
      <c r="A56" t="s">
        <v>77</v>
      </c>
      <c r="B56">
        <v>7</v>
      </c>
      <c r="C56" s="2">
        <f t="shared" si="0"/>
        <v>8.6666666666666661</v>
      </c>
      <c r="D56">
        <v>1692</v>
      </c>
      <c r="E56" s="2">
        <f t="shared" si="7"/>
        <v>1748</v>
      </c>
      <c r="F56">
        <v>11.832500000000001</v>
      </c>
      <c r="G56" s="2">
        <f t="shared" si="1"/>
        <v>10.495166666666668</v>
      </c>
      <c r="H56">
        <v>23.337499999999999</v>
      </c>
      <c r="I56" s="2">
        <f t="shared" si="2"/>
        <v>20.798999999999996</v>
      </c>
      <c r="J56">
        <v>9.65</v>
      </c>
      <c r="K56" s="2">
        <f t="shared" si="3"/>
        <v>11.364333333333335</v>
      </c>
      <c r="L56">
        <v>0.71</v>
      </c>
      <c r="M56" s="2">
        <f t="shared" si="4"/>
        <v>0.95400000000000007</v>
      </c>
      <c r="N56">
        <v>2.6275000000000004</v>
      </c>
      <c r="O56" s="2">
        <f t="shared" si="5"/>
        <v>2.5425</v>
      </c>
      <c r="P56">
        <v>3.8200000000000003</v>
      </c>
      <c r="Q56" s="2">
        <f t="shared" si="6"/>
        <v>4.4530555555555553</v>
      </c>
    </row>
    <row r="57" spans="1:17" x14ac:dyDescent="0.2">
      <c r="A57" t="s">
        <v>78</v>
      </c>
      <c r="B57">
        <v>9</v>
      </c>
      <c r="C57" s="2">
        <f t="shared" si="0"/>
        <v>6.666666666666667</v>
      </c>
      <c r="D57">
        <v>1271</v>
      </c>
      <c r="E57" s="2">
        <f t="shared" si="7"/>
        <v>1161.6666666666667</v>
      </c>
      <c r="F57">
        <v>9.8179999999999996</v>
      </c>
      <c r="G57" s="2">
        <f t="shared" si="1"/>
        <v>9.3993333333333329</v>
      </c>
      <c r="H57">
        <v>19.282</v>
      </c>
      <c r="I57" s="2">
        <f t="shared" si="2"/>
        <v>18.302333333333333</v>
      </c>
      <c r="J57">
        <v>12.048</v>
      </c>
      <c r="K57" s="2">
        <f t="shared" si="3"/>
        <v>11.106</v>
      </c>
      <c r="L57">
        <v>1.6419999999999999</v>
      </c>
      <c r="M57" s="2">
        <f t="shared" si="4"/>
        <v>1.9281666666666666</v>
      </c>
      <c r="N57">
        <v>2.4849999999999999</v>
      </c>
      <c r="O57" s="2">
        <f t="shared" si="5"/>
        <v>2.4950000000000006</v>
      </c>
      <c r="P57">
        <v>7.586666666666666</v>
      </c>
      <c r="Q57" s="2">
        <f t="shared" si="6"/>
        <v>6.5547222222222219</v>
      </c>
    </row>
    <row r="58" spans="1:17" x14ac:dyDescent="0.2">
      <c r="A58" t="s">
        <v>79</v>
      </c>
      <c r="B58">
        <v>4</v>
      </c>
      <c r="C58" s="2">
        <f>AVERAGE(B57:B59)</f>
        <v>6.5</v>
      </c>
      <c r="D58">
        <v>522</v>
      </c>
      <c r="E58" s="2">
        <f t="shared" si="7"/>
        <v>896.5</v>
      </c>
      <c r="F58">
        <v>6.5474999999999994</v>
      </c>
      <c r="G58" s="2">
        <f t="shared" si="1"/>
        <v>8.1827499999999986</v>
      </c>
      <c r="H58">
        <v>12.287500000000001</v>
      </c>
      <c r="I58" s="2">
        <f t="shared" si="2"/>
        <v>15.784750000000001</v>
      </c>
      <c r="J58">
        <v>11.620000000000001</v>
      </c>
      <c r="K58" s="2">
        <f>AVERAGE(J57:J59)</f>
        <v>11.834</v>
      </c>
      <c r="L58">
        <v>3.4324999999999997</v>
      </c>
      <c r="M58" s="2">
        <f t="shared" si="4"/>
        <v>2.5372499999999998</v>
      </c>
      <c r="N58">
        <v>2.3725000000000001</v>
      </c>
      <c r="O58" s="2">
        <f t="shared" si="5"/>
        <v>2.42875</v>
      </c>
      <c r="P58">
        <v>8.2575000000000003</v>
      </c>
      <c r="Q58" s="2">
        <f t="shared" si="6"/>
        <v>7.9220833333333331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470E-0596-BF49-8410-8F284E440E12}">
  <dimension ref="A1:I70"/>
  <sheetViews>
    <sheetView workbookViewId="0">
      <selection activeCell="D2" sqref="D2:D70"/>
    </sheetView>
  </sheetViews>
  <sheetFormatPr baseColWidth="10" defaultRowHeight="16" x14ac:dyDescent="0.2"/>
  <cols>
    <col min="1" max="1" width="17" customWidth="1"/>
    <col min="4" max="5" width="9.1640625" customWidth="1"/>
    <col min="6" max="6" width="8.6640625" customWidth="1"/>
  </cols>
  <sheetData>
    <row r="1" spans="1:9" x14ac:dyDescent="0.2">
      <c r="B1" t="s">
        <v>0</v>
      </c>
      <c r="C1" t="s">
        <v>1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 x14ac:dyDescent="0.2">
      <c r="A2" t="s">
        <v>29</v>
      </c>
      <c r="B2">
        <v>6</v>
      </c>
      <c r="C2">
        <v>0</v>
      </c>
      <c r="D2">
        <v>542</v>
      </c>
      <c r="E2">
        <v>594</v>
      </c>
      <c r="F2">
        <v>203</v>
      </c>
      <c r="G2">
        <v>1900</v>
      </c>
    </row>
    <row r="3" spans="1:9" x14ac:dyDescent="0.2">
      <c r="A3" t="s">
        <v>30</v>
      </c>
      <c r="B3">
        <v>6</v>
      </c>
      <c r="C3">
        <v>0</v>
      </c>
      <c r="D3">
        <v>374</v>
      </c>
      <c r="E3">
        <v>676</v>
      </c>
      <c r="F3">
        <v>92</v>
      </c>
      <c r="G3">
        <v>1460</v>
      </c>
    </row>
    <row r="4" spans="1:9" x14ac:dyDescent="0.2">
      <c r="A4" t="s">
        <v>31</v>
      </c>
      <c r="B4">
        <v>6</v>
      </c>
      <c r="C4">
        <v>170</v>
      </c>
      <c r="D4">
        <v>584</v>
      </c>
      <c r="E4">
        <v>1419</v>
      </c>
      <c r="F4">
        <v>144</v>
      </c>
      <c r="G4">
        <v>1078</v>
      </c>
    </row>
    <row r="5" spans="1:9" x14ac:dyDescent="0.2">
      <c r="A5" t="s">
        <v>32</v>
      </c>
      <c r="B5">
        <v>1</v>
      </c>
      <c r="C5">
        <v>525</v>
      </c>
      <c r="D5">
        <v>112</v>
      </c>
      <c r="E5">
        <v>349</v>
      </c>
      <c r="F5">
        <v>59</v>
      </c>
      <c r="G5">
        <v>136</v>
      </c>
    </row>
    <row r="6" spans="1:9" x14ac:dyDescent="0.2">
      <c r="A6" t="s">
        <v>33</v>
      </c>
      <c r="B6">
        <v>0</v>
      </c>
      <c r="C6">
        <v>784</v>
      </c>
      <c r="D6">
        <v>11</v>
      </c>
      <c r="E6">
        <v>108</v>
      </c>
      <c r="F6">
        <v>10</v>
      </c>
      <c r="G6">
        <v>11</v>
      </c>
    </row>
    <row r="7" spans="1:9" x14ac:dyDescent="0.2">
      <c r="A7" t="s">
        <v>34</v>
      </c>
      <c r="B7">
        <v>4</v>
      </c>
      <c r="C7">
        <v>646</v>
      </c>
      <c r="D7">
        <v>3</v>
      </c>
      <c r="E7">
        <v>105</v>
      </c>
      <c r="F7">
        <v>9</v>
      </c>
      <c r="G7">
        <v>11</v>
      </c>
    </row>
    <row r="8" spans="1:9" x14ac:dyDescent="0.2">
      <c r="A8" t="s">
        <v>35</v>
      </c>
      <c r="B8">
        <v>3</v>
      </c>
      <c r="C8">
        <v>1548</v>
      </c>
      <c r="D8">
        <v>2</v>
      </c>
      <c r="E8">
        <v>273</v>
      </c>
      <c r="F8">
        <v>3</v>
      </c>
      <c r="G8">
        <v>3</v>
      </c>
    </row>
    <row r="9" spans="1:9" x14ac:dyDescent="0.2">
      <c r="A9" t="s">
        <v>36</v>
      </c>
      <c r="B9">
        <v>1</v>
      </c>
      <c r="C9">
        <v>1208</v>
      </c>
      <c r="D9">
        <v>2</v>
      </c>
      <c r="E9">
        <v>280</v>
      </c>
      <c r="F9">
        <v>6</v>
      </c>
      <c r="G9">
        <v>2</v>
      </c>
    </row>
    <row r="10" spans="1:9" x14ac:dyDescent="0.2">
      <c r="A10" t="s">
        <v>37</v>
      </c>
      <c r="B10">
        <v>2</v>
      </c>
      <c r="C10">
        <v>1674</v>
      </c>
      <c r="D10">
        <v>3</v>
      </c>
      <c r="E10">
        <v>635</v>
      </c>
      <c r="F10">
        <v>3</v>
      </c>
      <c r="G10">
        <v>2</v>
      </c>
    </row>
    <row r="11" spans="1:9" x14ac:dyDescent="0.2">
      <c r="A11" t="s">
        <v>38</v>
      </c>
      <c r="B11">
        <v>0</v>
      </c>
      <c r="C11">
        <v>5703</v>
      </c>
      <c r="D11">
        <v>4</v>
      </c>
      <c r="E11">
        <v>1109</v>
      </c>
      <c r="F11">
        <v>11</v>
      </c>
      <c r="G11">
        <v>4</v>
      </c>
    </row>
    <row r="12" spans="1:9" x14ac:dyDescent="0.2">
      <c r="A12" t="s">
        <v>39</v>
      </c>
      <c r="B12">
        <v>2</v>
      </c>
      <c r="C12">
        <v>15545</v>
      </c>
      <c r="D12">
        <v>4</v>
      </c>
      <c r="E12">
        <v>661</v>
      </c>
      <c r="F12">
        <v>1</v>
      </c>
      <c r="G12">
        <v>4</v>
      </c>
    </row>
    <row r="13" spans="1:9" x14ac:dyDescent="0.2">
      <c r="A13" t="s">
        <v>40</v>
      </c>
      <c r="B13">
        <v>1</v>
      </c>
      <c r="C13">
        <v>10112</v>
      </c>
      <c r="D13">
        <v>3</v>
      </c>
      <c r="E13">
        <v>490</v>
      </c>
      <c r="F13">
        <v>8</v>
      </c>
      <c r="G13">
        <v>2</v>
      </c>
    </row>
    <row r="14" spans="1:9" x14ac:dyDescent="0.2">
      <c r="A14" t="s">
        <v>41</v>
      </c>
      <c r="B14">
        <v>1</v>
      </c>
      <c r="C14">
        <v>7416</v>
      </c>
      <c r="D14">
        <v>7</v>
      </c>
      <c r="E14">
        <v>338</v>
      </c>
      <c r="F14">
        <v>3</v>
      </c>
      <c r="G14">
        <v>1</v>
      </c>
    </row>
    <row r="15" spans="1:9" x14ac:dyDescent="0.2">
      <c r="A15" t="s">
        <v>42</v>
      </c>
      <c r="B15">
        <v>1</v>
      </c>
      <c r="C15">
        <v>4966</v>
      </c>
      <c r="D15">
        <v>3</v>
      </c>
      <c r="E15">
        <v>409</v>
      </c>
      <c r="F15">
        <v>6</v>
      </c>
      <c r="G15">
        <v>1</v>
      </c>
    </row>
    <row r="16" spans="1:9" x14ac:dyDescent="0.2">
      <c r="A16" t="s">
        <v>43</v>
      </c>
      <c r="B16">
        <v>1</v>
      </c>
      <c r="C16">
        <v>5503</v>
      </c>
      <c r="D16">
        <v>27</v>
      </c>
      <c r="E16">
        <v>359</v>
      </c>
      <c r="F16">
        <v>7</v>
      </c>
      <c r="G16">
        <v>2</v>
      </c>
    </row>
    <row r="17" spans="1:7" x14ac:dyDescent="0.2">
      <c r="A17" t="s">
        <v>44</v>
      </c>
      <c r="B17">
        <v>2</v>
      </c>
      <c r="C17">
        <v>10152</v>
      </c>
      <c r="D17">
        <v>131</v>
      </c>
      <c r="E17">
        <v>565</v>
      </c>
      <c r="F17">
        <v>14</v>
      </c>
      <c r="G17">
        <v>13</v>
      </c>
    </row>
    <row r="18" spans="1:7" x14ac:dyDescent="0.2">
      <c r="A18" t="s">
        <v>45</v>
      </c>
      <c r="B18">
        <v>1</v>
      </c>
      <c r="C18">
        <v>5667</v>
      </c>
      <c r="D18">
        <v>162</v>
      </c>
      <c r="E18">
        <v>403</v>
      </c>
      <c r="F18">
        <v>94</v>
      </c>
      <c r="G18">
        <v>20</v>
      </c>
    </row>
    <row r="19" spans="1:7" x14ac:dyDescent="0.2">
      <c r="A19" t="s">
        <v>46</v>
      </c>
      <c r="B19">
        <v>6</v>
      </c>
      <c r="C19">
        <v>1654</v>
      </c>
      <c r="D19">
        <v>148</v>
      </c>
      <c r="E19">
        <v>446</v>
      </c>
      <c r="F19">
        <v>309</v>
      </c>
      <c r="G19">
        <v>53</v>
      </c>
    </row>
    <row r="20" spans="1:7" x14ac:dyDescent="0.2">
      <c r="A20" t="s">
        <v>47</v>
      </c>
      <c r="B20">
        <v>4</v>
      </c>
      <c r="C20">
        <v>3093</v>
      </c>
      <c r="D20">
        <v>94</v>
      </c>
      <c r="E20">
        <v>491</v>
      </c>
      <c r="F20">
        <v>316</v>
      </c>
      <c r="G20">
        <v>215</v>
      </c>
    </row>
    <row r="21" spans="1:7" x14ac:dyDescent="0.2">
      <c r="A21" t="s">
        <v>48</v>
      </c>
      <c r="B21">
        <v>2</v>
      </c>
      <c r="C21">
        <v>9702</v>
      </c>
      <c r="D21">
        <v>104</v>
      </c>
      <c r="E21">
        <v>747</v>
      </c>
      <c r="F21">
        <v>289</v>
      </c>
      <c r="G21">
        <v>386</v>
      </c>
    </row>
    <row r="22" spans="1:7" x14ac:dyDescent="0.2">
      <c r="A22" t="s">
        <v>49</v>
      </c>
      <c r="B22">
        <v>3</v>
      </c>
      <c r="C22">
        <v>13058</v>
      </c>
      <c r="D22">
        <v>63</v>
      </c>
      <c r="E22">
        <v>1191</v>
      </c>
      <c r="F22">
        <v>283</v>
      </c>
      <c r="G22">
        <v>1140</v>
      </c>
    </row>
    <row r="23" spans="1:7" x14ac:dyDescent="0.2">
      <c r="A23" t="s">
        <v>50</v>
      </c>
      <c r="B23">
        <v>6</v>
      </c>
      <c r="C23">
        <v>15899</v>
      </c>
      <c r="D23">
        <v>81</v>
      </c>
      <c r="E23">
        <v>739</v>
      </c>
      <c r="F23">
        <v>237</v>
      </c>
      <c r="G23">
        <v>1160</v>
      </c>
    </row>
    <row r="24" spans="1:7" x14ac:dyDescent="0.2">
      <c r="A24" t="s">
        <v>51</v>
      </c>
      <c r="B24">
        <v>5</v>
      </c>
      <c r="C24">
        <v>19892</v>
      </c>
      <c r="D24">
        <v>100</v>
      </c>
      <c r="E24">
        <v>678</v>
      </c>
      <c r="F24">
        <v>213</v>
      </c>
      <c r="G24">
        <v>1550</v>
      </c>
    </row>
    <row r="25" spans="1:7" x14ac:dyDescent="0.2">
      <c r="A25" t="s">
        <v>52</v>
      </c>
      <c r="B25">
        <v>1</v>
      </c>
      <c r="C25">
        <v>22346</v>
      </c>
      <c r="D25">
        <v>186</v>
      </c>
      <c r="E25">
        <v>606</v>
      </c>
      <c r="F25">
        <v>204</v>
      </c>
      <c r="G25">
        <v>1258</v>
      </c>
    </row>
    <row r="26" spans="1:7" x14ac:dyDescent="0.2">
      <c r="A26" t="s">
        <v>53</v>
      </c>
      <c r="B26">
        <v>1</v>
      </c>
      <c r="C26">
        <v>73785</v>
      </c>
      <c r="D26">
        <v>137</v>
      </c>
      <c r="E26">
        <v>272</v>
      </c>
      <c r="F26">
        <v>89</v>
      </c>
      <c r="G26">
        <v>469</v>
      </c>
    </row>
    <row r="27" spans="1:7" x14ac:dyDescent="0.2">
      <c r="A27" t="s">
        <v>54</v>
      </c>
      <c r="B27">
        <v>0</v>
      </c>
      <c r="C27">
        <v>7200</v>
      </c>
      <c r="D27">
        <v>64</v>
      </c>
      <c r="E27">
        <v>173</v>
      </c>
      <c r="F27">
        <v>38</v>
      </c>
      <c r="G27">
        <v>151</v>
      </c>
    </row>
    <row r="28" spans="1:7" x14ac:dyDescent="0.2">
      <c r="A28" t="s">
        <v>55</v>
      </c>
      <c r="B28">
        <v>6</v>
      </c>
      <c r="C28">
        <v>1952</v>
      </c>
      <c r="D28">
        <v>143</v>
      </c>
      <c r="E28">
        <v>309</v>
      </c>
      <c r="F28">
        <v>50</v>
      </c>
      <c r="G28">
        <v>93</v>
      </c>
    </row>
    <row r="29" spans="1:7" x14ac:dyDescent="0.2">
      <c r="A29" t="s">
        <v>56</v>
      </c>
      <c r="B29">
        <v>12</v>
      </c>
      <c r="C29">
        <v>2537</v>
      </c>
      <c r="D29">
        <v>179</v>
      </c>
      <c r="E29">
        <v>434</v>
      </c>
      <c r="F29">
        <v>105</v>
      </c>
      <c r="G29">
        <v>65</v>
      </c>
    </row>
    <row r="30" spans="1:7" x14ac:dyDescent="0.2">
      <c r="A30" t="s">
        <v>57</v>
      </c>
      <c r="B30">
        <v>8</v>
      </c>
      <c r="C30">
        <v>6504</v>
      </c>
      <c r="D30">
        <v>166</v>
      </c>
      <c r="E30">
        <v>365</v>
      </c>
      <c r="F30">
        <v>222</v>
      </c>
      <c r="G30">
        <v>66</v>
      </c>
    </row>
    <row r="31" spans="1:7" x14ac:dyDescent="0.2">
      <c r="A31" t="s">
        <v>58</v>
      </c>
      <c r="B31">
        <v>5</v>
      </c>
      <c r="C31">
        <v>6523</v>
      </c>
      <c r="D31">
        <v>85</v>
      </c>
      <c r="E31">
        <v>382</v>
      </c>
      <c r="F31">
        <v>246</v>
      </c>
      <c r="G31">
        <v>91</v>
      </c>
    </row>
    <row r="32" spans="1:7" x14ac:dyDescent="0.2">
      <c r="A32" t="s">
        <v>59</v>
      </c>
      <c r="B32">
        <v>3</v>
      </c>
      <c r="C32">
        <v>6351</v>
      </c>
      <c r="D32">
        <v>18</v>
      </c>
      <c r="E32">
        <v>221</v>
      </c>
      <c r="F32">
        <v>66</v>
      </c>
      <c r="G32">
        <v>66</v>
      </c>
    </row>
    <row r="33" spans="1:7" x14ac:dyDescent="0.2">
      <c r="A33" t="s">
        <v>60</v>
      </c>
      <c r="B33">
        <v>3</v>
      </c>
      <c r="C33">
        <v>4578</v>
      </c>
      <c r="D33">
        <v>9</v>
      </c>
      <c r="E33">
        <v>473</v>
      </c>
      <c r="F33">
        <v>53</v>
      </c>
      <c r="G33">
        <v>73</v>
      </c>
    </row>
    <row r="34" spans="1:7" x14ac:dyDescent="0.2">
      <c r="A34" t="s">
        <v>61</v>
      </c>
      <c r="B34">
        <v>5</v>
      </c>
      <c r="C34">
        <v>2066</v>
      </c>
      <c r="D34">
        <v>14</v>
      </c>
      <c r="E34">
        <v>838</v>
      </c>
      <c r="F34">
        <v>92</v>
      </c>
      <c r="G34">
        <v>210</v>
      </c>
    </row>
    <row r="35" spans="1:7" x14ac:dyDescent="0.2">
      <c r="A35" t="s">
        <v>62</v>
      </c>
      <c r="B35">
        <v>5</v>
      </c>
      <c r="C35">
        <v>2201</v>
      </c>
      <c r="D35">
        <v>12</v>
      </c>
      <c r="E35">
        <v>906</v>
      </c>
      <c r="F35">
        <v>192</v>
      </c>
      <c r="G35">
        <v>776</v>
      </c>
    </row>
    <row r="36" spans="1:7" x14ac:dyDescent="0.2">
      <c r="A36" t="s">
        <v>63</v>
      </c>
      <c r="B36">
        <v>11</v>
      </c>
      <c r="C36">
        <v>3856</v>
      </c>
      <c r="D36">
        <v>48</v>
      </c>
      <c r="E36">
        <v>763</v>
      </c>
      <c r="F36">
        <v>271</v>
      </c>
      <c r="G36">
        <v>2773</v>
      </c>
    </row>
    <row r="37" spans="1:7" x14ac:dyDescent="0.2">
      <c r="A37" t="s">
        <v>64</v>
      </c>
      <c r="B37">
        <v>18</v>
      </c>
      <c r="C37">
        <v>2723</v>
      </c>
      <c r="D37">
        <v>153</v>
      </c>
      <c r="E37">
        <v>464</v>
      </c>
      <c r="F37">
        <v>235</v>
      </c>
      <c r="G37">
        <v>2428</v>
      </c>
    </row>
    <row r="38" spans="1:7" x14ac:dyDescent="0.2">
      <c r="A38" t="s">
        <v>65</v>
      </c>
      <c r="B38">
        <v>9</v>
      </c>
      <c r="C38">
        <v>1462</v>
      </c>
      <c r="D38">
        <v>179</v>
      </c>
      <c r="E38">
        <v>329</v>
      </c>
      <c r="F38">
        <v>117</v>
      </c>
      <c r="G38">
        <v>712</v>
      </c>
    </row>
    <row r="39" spans="1:7" x14ac:dyDescent="0.2">
      <c r="A39" t="s">
        <v>66</v>
      </c>
      <c r="B39">
        <v>14</v>
      </c>
      <c r="C39">
        <v>1618</v>
      </c>
      <c r="D39">
        <v>368</v>
      </c>
      <c r="E39">
        <v>530</v>
      </c>
      <c r="F39">
        <v>142</v>
      </c>
      <c r="G39">
        <v>349</v>
      </c>
    </row>
    <row r="40" spans="1:7" x14ac:dyDescent="0.2">
      <c r="A40" t="s">
        <v>67</v>
      </c>
      <c r="B40">
        <v>5</v>
      </c>
      <c r="C40">
        <v>1135</v>
      </c>
      <c r="D40">
        <v>421</v>
      </c>
      <c r="E40">
        <v>637</v>
      </c>
      <c r="F40">
        <v>336</v>
      </c>
      <c r="G40">
        <v>282</v>
      </c>
    </row>
    <row r="41" spans="1:7" x14ac:dyDescent="0.2">
      <c r="A41" t="s">
        <v>68</v>
      </c>
      <c r="B41">
        <v>9</v>
      </c>
      <c r="C41">
        <v>734</v>
      </c>
      <c r="D41">
        <v>161</v>
      </c>
      <c r="E41">
        <v>695</v>
      </c>
      <c r="F41">
        <v>322</v>
      </c>
      <c r="G41">
        <v>116</v>
      </c>
    </row>
    <row r="42" spans="1:7" x14ac:dyDescent="0.2">
      <c r="A42" t="s">
        <v>69</v>
      </c>
      <c r="B42">
        <v>6</v>
      </c>
      <c r="C42">
        <v>346</v>
      </c>
      <c r="D42">
        <v>58</v>
      </c>
      <c r="E42">
        <v>826</v>
      </c>
      <c r="F42">
        <v>282</v>
      </c>
      <c r="G42">
        <v>52</v>
      </c>
    </row>
    <row r="43" spans="1:7" x14ac:dyDescent="0.2">
      <c r="A43" t="s">
        <v>70</v>
      </c>
      <c r="B43">
        <v>4</v>
      </c>
      <c r="C43">
        <v>166</v>
      </c>
      <c r="D43">
        <v>22</v>
      </c>
      <c r="E43">
        <v>725</v>
      </c>
      <c r="F43">
        <v>192</v>
      </c>
      <c r="G43">
        <v>7</v>
      </c>
    </row>
    <row r="44" spans="1:7" x14ac:dyDescent="0.2">
      <c r="A44" t="s">
        <v>71</v>
      </c>
      <c r="B44">
        <v>2</v>
      </c>
      <c r="C44">
        <v>286</v>
      </c>
      <c r="D44">
        <v>12</v>
      </c>
      <c r="E44">
        <v>404</v>
      </c>
      <c r="F44">
        <v>82</v>
      </c>
      <c r="G44">
        <v>13</v>
      </c>
    </row>
    <row r="45" spans="1:7" x14ac:dyDescent="0.2">
      <c r="A45" t="s">
        <v>72</v>
      </c>
      <c r="B45">
        <v>3</v>
      </c>
      <c r="C45">
        <v>1119</v>
      </c>
      <c r="D45">
        <v>18</v>
      </c>
      <c r="E45">
        <v>727</v>
      </c>
      <c r="F45">
        <v>61</v>
      </c>
      <c r="G45">
        <v>19</v>
      </c>
    </row>
    <row r="46" spans="1:7" x14ac:dyDescent="0.2">
      <c r="A46" t="s">
        <v>73</v>
      </c>
      <c r="B46">
        <v>4</v>
      </c>
      <c r="C46">
        <v>1282</v>
      </c>
      <c r="D46">
        <v>15</v>
      </c>
      <c r="E46">
        <v>948</v>
      </c>
      <c r="F46">
        <v>100</v>
      </c>
      <c r="G46">
        <v>36</v>
      </c>
    </row>
    <row r="47" spans="1:7" x14ac:dyDescent="0.2">
      <c r="A47" t="s">
        <v>74</v>
      </c>
      <c r="B47">
        <v>5</v>
      </c>
      <c r="C47">
        <v>1877</v>
      </c>
      <c r="D47">
        <v>12</v>
      </c>
      <c r="E47">
        <v>824</v>
      </c>
      <c r="F47">
        <v>122</v>
      </c>
      <c r="G47">
        <v>101</v>
      </c>
    </row>
    <row r="48" spans="1:7" x14ac:dyDescent="0.2">
      <c r="A48" t="s">
        <v>75</v>
      </c>
      <c r="B48">
        <v>3</v>
      </c>
      <c r="C48">
        <v>2475</v>
      </c>
      <c r="D48">
        <v>44</v>
      </c>
      <c r="E48">
        <v>681</v>
      </c>
      <c r="F48">
        <v>169</v>
      </c>
      <c r="G48">
        <v>637</v>
      </c>
    </row>
    <row r="49" spans="1:7" x14ac:dyDescent="0.2">
      <c r="A49" t="s">
        <v>76</v>
      </c>
      <c r="B49">
        <v>10</v>
      </c>
      <c r="C49">
        <v>2281</v>
      </c>
      <c r="D49">
        <v>98</v>
      </c>
      <c r="E49">
        <v>559</v>
      </c>
      <c r="F49">
        <v>112</v>
      </c>
      <c r="G49">
        <v>1389</v>
      </c>
    </row>
    <row r="50" spans="1:7" x14ac:dyDescent="0.2">
      <c r="A50" t="s">
        <v>77</v>
      </c>
      <c r="B50">
        <v>7</v>
      </c>
      <c r="C50">
        <v>1692</v>
      </c>
      <c r="D50">
        <v>179</v>
      </c>
      <c r="E50">
        <v>411</v>
      </c>
      <c r="F50">
        <v>69</v>
      </c>
      <c r="G50">
        <v>1372</v>
      </c>
    </row>
    <row r="51" spans="1:7" x14ac:dyDescent="0.2">
      <c r="A51" t="s">
        <v>78</v>
      </c>
      <c r="B51">
        <v>9</v>
      </c>
      <c r="C51">
        <v>1271</v>
      </c>
      <c r="D51">
        <v>403</v>
      </c>
      <c r="E51">
        <v>479</v>
      </c>
      <c r="F51">
        <v>85</v>
      </c>
      <c r="G51">
        <v>885</v>
      </c>
    </row>
    <row r="52" spans="1:7" x14ac:dyDescent="0.2">
      <c r="A52" t="s">
        <v>79</v>
      </c>
      <c r="B52">
        <v>4</v>
      </c>
      <c r="C52">
        <v>522</v>
      </c>
      <c r="D52">
        <v>296</v>
      </c>
      <c r="E52">
        <v>472</v>
      </c>
      <c r="F52">
        <v>143</v>
      </c>
      <c r="G52">
        <v>476</v>
      </c>
    </row>
    <row r="53" spans="1:7" x14ac:dyDescent="0.2">
      <c r="A53" s="3">
        <v>45383</v>
      </c>
      <c r="B53">
        <v>2</v>
      </c>
      <c r="D53">
        <v>150</v>
      </c>
      <c r="E53">
        <v>713</v>
      </c>
      <c r="F53">
        <v>264</v>
      </c>
      <c r="G53">
        <v>160</v>
      </c>
    </row>
    <row r="54" spans="1:7" x14ac:dyDescent="0.2">
      <c r="A54" s="3">
        <v>45413</v>
      </c>
      <c r="B54">
        <v>3</v>
      </c>
      <c r="D54">
        <v>103</v>
      </c>
      <c r="E54">
        <v>969</v>
      </c>
      <c r="F54">
        <v>508</v>
      </c>
      <c r="G54">
        <v>64</v>
      </c>
    </row>
    <row r="55" spans="1:7" x14ac:dyDescent="0.2">
      <c r="A55" s="3">
        <v>45444</v>
      </c>
      <c r="B55">
        <v>3</v>
      </c>
      <c r="D55">
        <v>28</v>
      </c>
      <c r="E55">
        <v>449</v>
      </c>
      <c r="F55">
        <v>205</v>
      </c>
      <c r="G55">
        <v>12</v>
      </c>
    </row>
    <row r="56" spans="1:7" x14ac:dyDescent="0.2">
      <c r="A56" s="3">
        <v>45474</v>
      </c>
      <c r="B56">
        <v>4</v>
      </c>
      <c r="D56">
        <v>24</v>
      </c>
      <c r="E56">
        <v>376</v>
      </c>
      <c r="F56">
        <v>123</v>
      </c>
      <c r="G56">
        <v>19</v>
      </c>
    </row>
    <row r="57" spans="1:7" x14ac:dyDescent="0.2">
      <c r="A57" s="3">
        <v>45505</v>
      </c>
      <c r="B57">
        <v>3</v>
      </c>
      <c r="D57">
        <v>26</v>
      </c>
      <c r="E57">
        <v>672</v>
      </c>
      <c r="F57">
        <v>70</v>
      </c>
      <c r="G57">
        <v>5</v>
      </c>
    </row>
    <row r="58" spans="1:7" x14ac:dyDescent="0.2">
      <c r="A58" s="3">
        <v>45536</v>
      </c>
      <c r="B58">
        <v>4</v>
      </c>
      <c r="D58">
        <v>23</v>
      </c>
      <c r="E58">
        <v>1053</v>
      </c>
      <c r="F58">
        <v>101</v>
      </c>
      <c r="G58">
        <v>8</v>
      </c>
    </row>
    <row r="59" spans="1:7" x14ac:dyDescent="0.2">
      <c r="A59" s="3">
        <v>45566</v>
      </c>
      <c r="B59">
        <v>6</v>
      </c>
      <c r="D59">
        <v>38</v>
      </c>
      <c r="E59">
        <v>1116</v>
      </c>
      <c r="F59">
        <v>212</v>
      </c>
      <c r="G59">
        <v>18</v>
      </c>
    </row>
    <row r="60" spans="1:7" x14ac:dyDescent="0.2">
      <c r="A60" s="3">
        <v>45597</v>
      </c>
      <c r="B60">
        <v>2</v>
      </c>
      <c r="D60">
        <v>109</v>
      </c>
      <c r="E60">
        <v>828</v>
      </c>
      <c r="F60">
        <v>253</v>
      </c>
      <c r="G60">
        <v>82</v>
      </c>
    </row>
    <row r="61" spans="1:7" x14ac:dyDescent="0.2">
      <c r="A61" s="3">
        <v>45627</v>
      </c>
      <c r="B61">
        <v>8</v>
      </c>
      <c r="D61">
        <v>304</v>
      </c>
      <c r="E61">
        <v>778</v>
      </c>
      <c r="F61">
        <v>225</v>
      </c>
      <c r="G61">
        <v>511</v>
      </c>
    </row>
    <row r="62" spans="1:7" x14ac:dyDescent="0.2">
      <c r="A62" s="3">
        <v>45658</v>
      </c>
      <c r="B62">
        <v>6</v>
      </c>
      <c r="D62">
        <v>485</v>
      </c>
      <c r="E62">
        <v>513</v>
      </c>
      <c r="F62">
        <v>160</v>
      </c>
      <c r="G62">
        <v>1435</v>
      </c>
    </row>
    <row r="63" spans="1:7" x14ac:dyDescent="0.2">
      <c r="A63" s="3">
        <v>45689</v>
      </c>
      <c r="B63">
        <v>12</v>
      </c>
      <c r="D63">
        <v>448</v>
      </c>
      <c r="E63">
        <v>499</v>
      </c>
      <c r="F63">
        <v>87</v>
      </c>
      <c r="G63">
        <v>2216</v>
      </c>
    </row>
    <row r="64" spans="1:7" x14ac:dyDescent="0.2">
      <c r="A64" s="3">
        <v>45717</v>
      </c>
      <c r="B64">
        <v>7</v>
      </c>
      <c r="D64">
        <v>393</v>
      </c>
      <c r="E64">
        <v>813</v>
      </c>
      <c r="F64">
        <v>158</v>
      </c>
      <c r="G64">
        <v>1380</v>
      </c>
    </row>
    <row r="65" spans="1:7" x14ac:dyDescent="0.2">
      <c r="A65" s="3">
        <v>45748</v>
      </c>
      <c r="B65">
        <v>4</v>
      </c>
      <c r="D65">
        <v>154</v>
      </c>
      <c r="E65">
        <v>789</v>
      </c>
      <c r="F65">
        <v>304</v>
      </c>
      <c r="G65">
        <v>460</v>
      </c>
    </row>
    <row r="66" spans="1:7" x14ac:dyDescent="0.2">
      <c r="A66" s="3">
        <v>45778</v>
      </c>
      <c r="B66">
        <v>4</v>
      </c>
      <c r="D66">
        <v>86</v>
      </c>
      <c r="E66">
        <v>989</v>
      </c>
      <c r="F66">
        <v>419</v>
      </c>
      <c r="G66">
        <v>103</v>
      </c>
    </row>
    <row r="67" spans="1:7" x14ac:dyDescent="0.2">
      <c r="A67" s="3">
        <v>45809</v>
      </c>
      <c r="B67">
        <v>3</v>
      </c>
      <c r="D67">
        <v>32</v>
      </c>
      <c r="E67">
        <v>502</v>
      </c>
      <c r="F67">
        <v>194</v>
      </c>
      <c r="G67">
        <v>23</v>
      </c>
    </row>
    <row r="68" spans="1:7" x14ac:dyDescent="0.2">
      <c r="A68" s="3">
        <v>45839</v>
      </c>
      <c r="B68">
        <v>2</v>
      </c>
      <c r="D68">
        <v>27</v>
      </c>
      <c r="E68">
        <v>386</v>
      </c>
      <c r="F68">
        <v>99</v>
      </c>
      <c r="G68">
        <v>10</v>
      </c>
    </row>
    <row r="69" spans="1:7" x14ac:dyDescent="0.2">
      <c r="A69" s="3">
        <v>45870</v>
      </c>
      <c r="B69">
        <v>0</v>
      </c>
      <c r="D69">
        <v>23</v>
      </c>
      <c r="E69">
        <v>517</v>
      </c>
      <c r="F69">
        <v>53</v>
      </c>
      <c r="G69">
        <v>10</v>
      </c>
    </row>
    <row r="70" spans="1:7" x14ac:dyDescent="0.2">
      <c r="A70" s="3">
        <v>45901</v>
      </c>
      <c r="B70">
        <v>4</v>
      </c>
      <c r="D70">
        <v>23</v>
      </c>
      <c r="E70">
        <v>670</v>
      </c>
      <c r="F70">
        <v>57</v>
      </c>
      <c r="G7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28F3-3841-924B-A4FF-9B77C9505A8B}">
  <dimension ref="A1:P70"/>
  <sheetViews>
    <sheetView topLeftCell="A172" zoomScale="27" zoomScaleNormal="75" workbookViewId="0">
      <selection activeCell="AT248" sqref="AT248"/>
    </sheetView>
  </sheetViews>
  <sheetFormatPr baseColWidth="10" defaultRowHeight="16" x14ac:dyDescent="0.2"/>
  <cols>
    <col min="1" max="1" width="17" customWidth="1"/>
  </cols>
  <sheetData>
    <row r="1" spans="1:16" x14ac:dyDescent="0.2">
      <c r="B1" t="s">
        <v>0</v>
      </c>
      <c r="C1" t="s">
        <v>1</v>
      </c>
      <c r="D1" t="s">
        <v>93</v>
      </c>
      <c r="E1" t="s">
        <v>83</v>
      </c>
      <c r="G1" t="s">
        <v>86</v>
      </c>
      <c r="I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81</v>
      </c>
      <c r="P1" t="s">
        <v>92</v>
      </c>
    </row>
    <row r="2" spans="1:16" x14ac:dyDescent="0.2">
      <c r="A2" t="s">
        <v>29</v>
      </c>
      <c r="B2">
        <v>6</v>
      </c>
      <c r="C2">
        <v>0</v>
      </c>
      <c r="D2">
        <v>0.22800000000000001</v>
      </c>
    </row>
    <row r="3" spans="1:16" x14ac:dyDescent="0.2">
      <c r="A3" t="s">
        <v>30</v>
      </c>
      <c r="B3">
        <v>6</v>
      </c>
      <c r="C3">
        <v>0</v>
      </c>
      <c r="D3">
        <v>0.23100000000000001</v>
      </c>
    </row>
    <row r="4" spans="1:16" x14ac:dyDescent="0.2">
      <c r="A4" t="s">
        <v>31</v>
      </c>
      <c r="B4">
        <v>6</v>
      </c>
      <c r="C4">
        <v>170</v>
      </c>
      <c r="D4">
        <v>0.108</v>
      </c>
    </row>
    <row r="5" spans="1:16" x14ac:dyDescent="0.2">
      <c r="A5" t="s">
        <v>32</v>
      </c>
      <c r="B5">
        <v>1</v>
      </c>
      <c r="C5">
        <v>525</v>
      </c>
      <c r="D5">
        <v>5.0000000000000001E-3</v>
      </c>
    </row>
    <row r="6" spans="1:16" x14ac:dyDescent="0.2">
      <c r="A6" t="s">
        <v>33</v>
      </c>
      <c r="B6">
        <v>0</v>
      </c>
      <c r="C6">
        <v>784</v>
      </c>
      <c r="D6">
        <v>1E-3</v>
      </c>
    </row>
    <row r="7" spans="1:16" x14ac:dyDescent="0.2">
      <c r="A7" t="s">
        <v>34</v>
      </c>
      <c r="B7">
        <v>4</v>
      </c>
      <c r="C7">
        <v>646</v>
      </c>
      <c r="D7">
        <v>0</v>
      </c>
    </row>
    <row r="8" spans="1:16" x14ac:dyDescent="0.2">
      <c r="A8" t="s">
        <v>35</v>
      </c>
      <c r="B8">
        <v>3</v>
      </c>
      <c r="C8">
        <v>1548</v>
      </c>
      <c r="D8">
        <v>1E-3</v>
      </c>
    </row>
    <row r="9" spans="1:16" x14ac:dyDescent="0.2">
      <c r="A9" t="s">
        <v>36</v>
      </c>
      <c r="B9">
        <v>1</v>
      </c>
      <c r="C9">
        <v>1208</v>
      </c>
    </row>
    <row r="10" spans="1:16" x14ac:dyDescent="0.2">
      <c r="A10" t="s">
        <v>37</v>
      </c>
      <c r="B10">
        <v>2</v>
      </c>
      <c r="C10">
        <v>1674</v>
      </c>
    </row>
    <row r="11" spans="1:16" x14ac:dyDescent="0.2">
      <c r="A11" t="s">
        <v>38</v>
      </c>
      <c r="B11">
        <v>0</v>
      </c>
      <c r="C11">
        <v>5703</v>
      </c>
      <c r="D11">
        <v>7</v>
      </c>
      <c r="E11">
        <v>10</v>
      </c>
      <c r="F11">
        <f>E11*100</f>
        <v>1000</v>
      </c>
      <c r="G11">
        <v>3</v>
      </c>
      <c r="H11">
        <f>G11*100</f>
        <v>300</v>
      </c>
      <c r="I11">
        <v>1</v>
      </c>
      <c r="J11">
        <f>I11*100</f>
        <v>100</v>
      </c>
      <c r="K11">
        <v>0</v>
      </c>
      <c r="L11">
        <v>1</v>
      </c>
      <c r="M11">
        <v>2</v>
      </c>
      <c r="N11">
        <v>1</v>
      </c>
      <c r="O11">
        <v>203</v>
      </c>
      <c r="P11">
        <v>1</v>
      </c>
    </row>
    <row r="12" spans="1:16" x14ac:dyDescent="0.2">
      <c r="A12" t="s">
        <v>39</v>
      </c>
      <c r="B12">
        <v>2</v>
      </c>
      <c r="C12">
        <v>15545</v>
      </c>
      <c r="D12">
        <v>17</v>
      </c>
      <c r="E12">
        <v>7</v>
      </c>
      <c r="F12">
        <f t="shared" ref="F12:F70" si="0">E12*100</f>
        <v>700</v>
      </c>
      <c r="G12">
        <v>7</v>
      </c>
      <c r="H12">
        <f t="shared" ref="H12:H70" si="1">G12*100</f>
        <v>700</v>
      </c>
      <c r="I12">
        <v>0</v>
      </c>
      <c r="J12">
        <f t="shared" ref="J12:J70" si="2">I12*100</f>
        <v>0</v>
      </c>
      <c r="K12">
        <v>1</v>
      </c>
      <c r="L12">
        <v>1</v>
      </c>
      <c r="M12">
        <v>5</v>
      </c>
      <c r="N12">
        <v>0</v>
      </c>
      <c r="O12">
        <v>307</v>
      </c>
      <c r="P12">
        <v>5</v>
      </c>
    </row>
    <row r="13" spans="1:16" x14ac:dyDescent="0.2">
      <c r="A13" t="s">
        <v>40</v>
      </c>
      <c r="B13">
        <v>1</v>
      </c>
      <c r="C13">
        <v>10112</v>
      </c>
      <c r="D13">
        <v>21</v>
      </c>
      <c r="E13">
        <v>12</v>
      </c>
      <c r="F13">
        <f t="shared" si="0"/>
        <v>1200</v>
      </c>
      <c r="G13">
        <v>11</v>
      </c>
      <c r="H13">
        <f t="shared" si="1"/>
        <v>1100</v>
      </c>
      <c r="I13">
        <v>2</v>
      </c>
      <c r="J13">
        <f t="shared" si="2"/>
        <v>200</v>
      </c>
      <c r="K13">
        <v>0</v>
      </c>
      <c r="L13">
        <v>3</v>
      </c>
      <c r="M13">
        <v>1</v>
      </c>
      <c r="N13">
        <v>2</v>
      </c>
      <c r="O13">
        <v>152</v>
      </c>
      <c r="P13">
        <v>4</v>
      </c>
    </row>
    <row r="14" spans="1:16" x14ac:dyDescent="0.2">
      <c r="A14" t="s">
        <v>41</v>
      </c>
      <c r="B14">
        <v>1</v>
      </c>
      <c r="C14">
        <v>7416</v>
      </c>
      <c r="D14">
        <v>21</v>
      </c>
      <c r="E14">
        <v>1</v>
      </c>
      <c r="F14">
        <f t="shared" si="0"/>
        <v>100</v>
      </c>
      <c r="G14">
        <v>5</v>
      </c>
      <c r="H14">
        <f t="shared" si="1"/>
        <v>500</v>
      </c>
      <c r="I14">
        <v>7</v>
      </c>
      <c r="J14">
        <f t="shared" si="2"/>
        <v>700</v>
      </c>
      <c r="K14">
        <v>0</v>
      </c>
      <c r="L14">
        <v>0</v>
      </c>
      <c r="M14">
        <v>0</v>
      </c>
      <c r="N14">
        <v>0</v>
      </c>
      <c r="O14">
        <v>143</v>
      </c>
      <c r="P14">
        <v>6</v>
      </c>
    </row>
    <row r="15" spans="1:16" x14ac:dyDescent="0.2">
      <c r="A15" t="s">
        <v>42</v>
      </c>
      <c r="B15">
        <v>1</v>
      </c>
      <c r="C15">
        <v>4966</v>
      </c>
      <c r="D15">
        <v>13</v>
      </c>
      <c r="E15">
        <v>0</v>
      </c>
      <c r="F15">
        <f t="shared" si="0"/>
        <v>0</v>
      </c>
      <c r="G15">
        <v>6</v>
      </c>
      <c r="H15">
        <f t="shared" si="1"/>
        <v>600</v>
      </c>
      <c r="I15">
        <v>7</v>
      </c>
      <c r="J15">
        <f t="shared" si="2"/>
        <v>700</v>
      </c>
      <c r="K15">
        <v>0</v>
      </c>
      <c r="L15">
        <v>0</v>
      </c>
      <c r="M15">
        <v>0</v>
      </c>
      <c r="N15">
        <v>1</v>
      </c>
      <c r="O15">
        <v>153</v>
      </c>
      <c r="P15">
        <v>4</v>
      </c>
    </row>
    <row r="16" spans="1:16" x14ac:dyDescent="0.2">
      <c r="A16" t="s">
        <v>43</v>
      </c>
      <c r="B16">
        <v>1</v>
      </c>
      <c r="C16">
        <v>5503</v>
      </c>
      <c r="D16">
        <v>3</v>
      </c>
      <c r="E16">
        <v>0</v>
      </c>
      <c r="F16">
        <f t="shared" si="0"/>
        <v>0</v>
      </c>
      <c r="G16">
        <v>6</v>
      </c>
      <c r="H16">
        <f t="shared" si="1"/>
        <v>600</v>
      </c>
      <c r="I16">
        <v>3</v>
      </c>
      <c r="J16">
        <f t="shared" si="2"/>
        <v>300</v>
      </c>
      <c r="K16">
        <v>0</v>
      </c>
      <c r="L16">
        <v>0</v>
      </c>
      <c r="M16">
        <v>0</v>
      </c>
      <c r="N16">
        <v>0</v>
      </c>
      <c r="O16">
        <v>118</v>
      </c>
      <c r="P16">
        <v>8</v>
      </c>
    </row>
    <row r="17" spans="1:16" x14ac:dyDescent="0.2">
      <c r="A17" t="s">
        <v>44</v>
      </c>
      <c r="B17">
        <v>2</v>
      </c>
      <c r="C17">
        <v>10152</v>
      </c>
      <c r="D17">
        <v>52</v>
      </c>
      <c r="E17">
        <v>2</v>
      </c>
      <c r="F17">
        <f t="shared" si="0"/>
        <v>200</v>
      </c>
      <c r="G17">
        <v>15</v>
      </c>
      <c r="H17">
        <f t="shared" si="1"/>
        <v>1500</v>
      </c>
      <c r="I17">
        <v>4</v>
      </c>
      <c r="J17">
        <f t="shared" si="2"/>
        <v>400</v>
      </c>
      <c r="K17">
        <v>0</v>
      </c>
      <c r="L17">
        <v>0</v>
      </c>
      <c r="M17">
        <v>2</v>
      </c>
      <c r="N17">
        <v>0</v>
      </c>
      <c r="O17">
        <v>141</v>
      </c>
      <c r="P17">
        <v>25</v>
      </c>
    </row>
    <row r="18" spans="1:16" x14ac:dyDescent="0.2">
      <c r="A18" t="s">
        <v>45</v>
      </c>
      <c r="B18">
        <v>1</v>
      </c>
      <c r="C18">
        <v>5667</v>
      </c>
      <c r="D18">
        <v>22</v>
      </c>
      <c r="E18">
        <v>1</v>
      </c>
      <c r="F18">
        <f t="shared" si="0"/>
        <v>100</v>
      </c>
      <c r="G18">
        <v>16</v>
      </c>
      <c r="H18">
        <f t="shared" si="1"/>
        <v>1600</v>
      </c>
      <c r="I18">
        <v>7</v>
      </c>
      <c r="J18">
        <f t="shared" si="2"/>
        <v>700</v>
      </c>
      <c r="K18">
        <v>1</v>
      </c>
      <c r="L18">
        <v>0</v>
      </c>
      <c r="M18">
        <v>16</v>
      </c>
      <c r="N18">
        <v>1</v>
      </c>
      <c r="O18">
        <v>189</v>
      </c>
      <c r="P18">
        <v>34</v>
      </c>
    </row>
    <row r="19" spans="1:16" x14ac:dyDescent="0.2">
      <c r="A19" t="s">
        <v>46</v>
      </c>
      <c r="B19">
        <v>6</v>
      </c>
      <c r="C19">
        <v>1654</v>
      </c>
      <c r="D19">
        <v>5</v>
      </c>
      <c r="E19">
        <v>14</v>
      </c>
      <c r="F19">
        <f t="shared" si="0"/>
        <v>1400</v>
      </c>
      <c r="G19">
        <v>36</v>
      </c>
      <c r="H19">
        <f t="shared" si="1"/>
        <v>3600</v>
      </c>
      <c r="I19">
        <v>0</v>
      </c>
      <c r="J19">
        <f t="shared" si="2"/>
        <v>0</v>
      </c>
      <c r="K19">
        <v>0</v>
      </c>
      <c r="L19">
        <v>12</v>
      </c>
      <c r="M19">
        <v>135</v>
      </c>
      <c r="N19">
        <v>0</v>
      </c>
      <c r="O19">
        <v>310</v>
      </c>
      <c r="P19">
        <v>77</v>
      </c>
    </row>
    <row r="20" spans="1:16" x14ac:dyDescent="0.2">
      <c r="A20" t="s">
        <v>47</v>
      </c>
      <c r="B20">
        <v>4</v>
      </c>
      <c r="C20">
        <v>3093</v>
      </c>
      <c r="D20">
        <v>4</v>
      </c>
      <c r="E20">
        <v>54</v>
      </c>
      <c r="F20">
        <f t="shared" si="0"/>
        <v>5400</v>
      </c>
      <c r="G20">
        <v>37</v>
      </c>
      <c r="H20">
        <f t="shared" si="1"/>
        <v>3700</v>
      </c>
      <c r="I20">
        <v>0</v>
      </c>
      <c r="J20">
        <f t="shared" si="2"/>
        <v>0</v>
      </c>
      <c r="K20">
        <v>0</v>
      </c>
      <c r="L20">
        <v>12</v>
      </c>
      <c r="M20">
        <v>208</v>
      </c>
      <c r="N20">
        <v>1</v>
      </c>
      <c r="O20">
        <v>281</v>
      </c>
      <c r="P20">
        <v>60</v>
      </c>
    </row>
    <row r="21" spans="1:16" x14ac:dyDescent="0.2">
      <c r="A21" t="s">
        <v>48</v>
      </c>
      <c r="B21">
        <v>2</v>
      </c>
      <c r="C21">
        <v>9702</v>
      </c>
      <c r="D21">
        <v>1</v>
      </c>
      <c r="E21">
        <v>277</v>
      </c>
      <c r="F21">
        <f t="shared" si="0"/>
        <v>27700</v>
      </c>
      <c r="G21">
        <v>60</v>
      </c>
      <c r="H21">
        <f t="shared" si="1"/>
        <v>6000</v>
      </c>
      <c r="I21">
        <v>2</v>
      </c>
      <c r="J21">
        <f t="shared" si="2"/>
        <v>200</v>
      </c>
      <c r="K21">
        <v>1</v>
      </c>
      <c r="L21">
        <v>29</v>
      </c>
      <c r="M21">
        <v>188</v>
      </c>
      <c r="N21">
        <v>2</v>
      </c>
      <c r="O21">
        <v>550</v>
      </c>
      <c r="P21">
        <v>60</v>
      </c>
    </row>
    <row r="22" spans="1:16" x14ac:dyDescent="0.2">
      <c r="A22" t="s">
        <v>49</v>
      </c>
      <c r="B22">
        <v>3</v>
      </c>
      <c r="C22">
        <v>13058</v>
      </c>
      <c r="D22">
        <v>3</v>
      </c>
      <c r="E22">
        <v>366</v>
      </c>
      <c r="F22">
        <f t="shared" si="0"/>
        <v>36600</v>
      </c>
      <c r="G22">
        <v>74</v>
      </c>
      <c r="H22">
        <f t="shared" si="1"/>
        <v>7400</v>
      </c>
      <c r="I22">
        <v>3</v>
      </c>
      <c r="J22">
        <f t="shared" si="2"/>
        <v>300</v>
      </c>
      <c r="K22">
        <v>0</v>
      </c>
      <c r="L22">
        <v>49</v>
      </c>
      <c r="M22">
        <v>150</v>
      </c>
      <c r="N22">
        <v>20</v>
      </c>
      <c r="O22">
        <v>898</v>
      </c>
      <c r="P22">
        <v>58</v>
      </c>
    </row>
    <row r="23" spans="1:16" x14ac:dyDescent="0.2">
      <c r="A23" t="s">
        <v>50</v>
      </c>
      <c r="B23">
        <v>6</v>
      </c>
      <c r="C23">
        <v>15899</v>
      </c>
      <c r="D23">
        <v>17</v>
      </c>
      <c r="E23">
        <v>1141</v>
      </c>
      <c r="F23">
        <f t="shared" si="0"/>
        <v>114100</v>
      </c>
      <c r="G23">
        <v>93</v>
      </c>
      <c r="H23">
        <f t="shared" si="1"/>
        <v>9300</v>
      </c>
      <c r="I23">
        <v>9</v>
      </c>
      <c r="J23">
        <f t="shared" si="2"/>
        <v>900</v>
      </c>
      <c r="K23">
        <v>13</v>
      </c>
      <c r="L23">
        <v>51</v>
      </c>
      <c r="M23">
        <v>109</v>
      </c>
      <c r="N23">
        <v>48</v>
      </c>
      <c r="O23">
        <v>627</v>
      </c>
      <c r="P23">
        <v>44</v>
      </c>
    </row>
    <row r="24" spans="1:16" x14ac:dyDescent="0.2">
      <c r="A24" t="s">
        <v>51</v>
      </c>
      <c r="B24">
        <v>5</v>
      </c>
      <c r="C24">
        <v>19892</v>
      </c>
      <c r="D24">
        <v>75</v>
      </c>
      <c r="E24">
        <v>1330</v>
      </c>
      <c r="F24">
        <f t="shared" si="0"/>
        <v>133000</v>
      </c>
      <c r="G24">
        <v>67</v>
      </c>
      <c r="H24">
        <f t="shared" si="1"/>
        <v>6700</v>
      </c>
      <c r="I24">
        <v>11</v>
      </c>
      <c r="J24">
        <f t="shared" si="2"/>
        <v>1100</v>
      </c>
      <c r="K24">
        <v>0</v>
      </c>
      <c r="L24">
        <v>60</v>
      </c>
      <c r="M24">
        <v>77</v>
      </c>
      <c r="N24">
        <v>29</v>
      </c>
      <c r="O24">
        <v>516</v>
      </c>
      <c r="P24">
        <v>64</v>
      </c>
    </row>
    <row r="25" spans="1:16" x14ac:dyDescent="0.2">
      <c r="A25" t="s">
        <v>52</v>
      </c>
      <c r="B25">
        <v>1</v>
      </c>
      <c r="C25">
        <v>22346</v>
      </c>
      <c r="D25">
        <v>485</v>
      </c>
      <c r="E25">
        <v>1263</v>
      </c>
      <c r="F25">
        <f t="shared" si="0"/>
        <v>126300</v>
      </c>
      <c r="G25">
        <v>103</v>
      </c>
      <c r="H25">
        <f t="shared" si="1"/>
        <v>10300</v>
      </c>
      <c r="I25">
        <v>40</v>
      </c>
      <c r="J25">
        <f t="shared" si="2"/>
        <v>4000</v>
      </c>
      <c r="K25">
        <v>1</v>
      </c>
      <c r="L25">
        <v>32</v>
      </c>
      <c r="M25">
        <v>102</v>
      </c>
      <c r="N25">
        <v>34</v>
      </c>
      <c r="O25">
        <v>407</v>
      </c>
      <c r="P25">
        <v>110</v>
      </c>
    </row>
    <row r="26" spans="1:16" x14ac:dyDescent="0.2">
      <c r="A26" t="s">
        <v>53</v>
      </c>
      <c r="B26">
        <v>1</v>
      </c>
      <c r="C26">
        <v>73785</v>
      </c>
      <c r="D26">
        <v>1496</v>
      </c>
      <c r="E26">
        <v>917</v>
      </c>
      <c r="F26">
        <f t="shared" si="0"/>
        <v>91700</v>
      </c>
      <c r="G26">
        <v>101</v>
      </c>
      <c r="H26">
        <f t="shared" si="1"/>
        <v>10100</v>
      </c>
      <c r="I26">
        <v>117</v>
      </c>
      <c r="J26">
        <f t="shared" si="2"/>
        <v>11700</v>
      </c>
      <c r="K26">
        <v>0</v>
      </c>
      <c r="L26">
        <v>27</v>
      </c>
      <c r="M26">
        <v>61</v>
      </c>
      <c r="N26">
        <v>26</v>
      </c>
      <c r="O26">
        <v>293</v>
      </c>
      <c r="P26">
        <v>115</v>
      </c>
    </row>
    <row r="27" spans="1:16" x14ac:dyDescent="0.2">
      <c r="A27" t="s">
        <v>54</v>
      </c>
      <c r="B27">
        <v>0</v>
      </c>
      <c r="C27">
        <v>7200</v>
      </c>
      <c r="D27">
        <v>311</v>
      </c>
      <c r="E27">
        <v>207</v>
      </c>
      <c r="F27">
        <f t="shared" si="0"/>
        <v>20700</v>
      </c>
      <c r="G27">
        <v>79</v>
      </c>
      <c r="H27">
        <f t="shared" si="1"/>
        <v>7900</v>
      </c>
      <c r="I27">
        <v>124</v>
      </c>
      <c r="J27">
        <f t="shared" si="2"/>
        <v>12400</v>
      </c>
      <c r="K27">
        <v>0</v>
      </c>
      <c r="L27">
        <v>11</v>
      </c>
      <c r="M27">
        <v>22</v>
      </c>
      <c r="N27">
        <v>9</v>
      </c>
      <c r="O27">
        <v>207</v>
      </c>
      <c r="P27">
        <v>49</v>
      </c>
    </row>
    <row r="28" spans="1:16" x14ac:dyDescent="0.2">
      <c r="A28" t="s">
        <v>55</v>
      </c>
      <c r="B28">
        <v>6</v>
      </c>
      <c r="C28">
        <v>1952</v>
      </c>
      <c r="D28">
        <v>664</v>
      </c>
      <c r="E28">
        <v>159</v>
      </c>
      <c r="F28">
        <f t="shared" si="0"/>
        <v>15900</v>
      </c>
      <c r="G28">
        <v>51</v>
      </c>
      <c r="H28">
        <f t="shared" si="1"/>
        <v>5100</v>
      </c>
      <c r="I28">
        <v>141</v>
      </c>
      <c r="J28">
        <f t="shared" si="2"/>
        <v>14100</v>
      </c>
      <c r="K28">
        <v>0</v>
      </c>
      <c r="L28">
        <v>4</v>
      </c>
      <c r="M28">
        <v>7</v>
      </c>
      <c r="N28">
        <v>16</v>
      </c>
      <c r="O28">
        <v>254</v>
      </c>
      <c r="P28">
        <v>65</v>
      </c>
    </row>
    <row r="29" spans="1:16" x14ac:dyDescent="0.2">
      <c r="A29" t="s">
        <v>56</v>
      </c>
      <c r="B29">
        <v>12</v>
      </c>
      <c r="C29">
        <v>2537</v>
      </c>
      <c r="D29">
        <v>1819.8</v>
      </c>
      <c r="E29">
        <v>92</v>
      </c>
      <c r="F29">
        <f t="shared" si="0"/>
        <v>9200</v>
      </c>
      <c r="G29">
        <v>49</v>
      </c>
      <c r="H29">
        <f t="shared" si="1"/>
        <v>4900</v>
      </c>
      <c r="I29">
        <v>133</v>
      </c>
      <c r="J29">
        <f t="shared" si="2"/>
        <v>13300</v>
      </c>
      <c r="K29">
        <v>1</v>
      </c>
      <c r="L29">
        <v>3</v>
      </c>
      <c r="M29">
        <v>20</v>
      </c>
      <c r="N29">
        <v>3</v>
      </c>
      <c r="O29">
        <v>194</v>
      </c>
      <c r="P29">
        <v>77</v>
      </c>
    </row>
    <row r="30" spans="1:16" x14ac:dyDescent="0.2">
      <c r="A30" t="s">
        <v>57</v>
      </c>
      <c r="B30">
        <v>8</v>
      </c>
      <c r="C30">
        <v>6504</v>
      </c>
      <c r="D30">
        <v>2225</v>
      </c>
      <c r="E30">
        <v>125</v>
      </c>
      <c r="F30">
        <f t="shared" si="0"/>
        <v>12500</v>
      </c>
      <c r="G30">
        <v>61</v>
      </c>
      <c r="H30">
        <f t="shared" si="1"/>
        <v>6100</v>
      </c>
      <c r="I30">
        <v>119</v>
      </c>
      <c r="J30">
        <f t="shared" si="2"/>
        <v>11900</v>
      </c>
      <c r="K30">
        <v>3</v>
      </c>
      <c r="L30">
        <v>2</v>
      </c>
      <c r="M30">
        <v>115</v>
      </c>
      <c r="N30">
        <v>16</v>
      </c>
      <c r="O30">
        <v>237</v>
      </c>
      <c r="P30">
        <v>94</v>
      </c>
    </row>
    <row r="31" spans="1:16" x14ac:dyDescent="0.2">
      <c r="A31" t="s">
        <v>58</v>
      </c>
      <c r="B31">
        <v>5</v>
      </c>
      <c r="C31">
        <v>6523</v>
      </c>
      <c r="D31">
        <v>741</v>
      </c>
      <c r="E31">
        <v>95</v>
      </c>
      <c r="F31">
        <f t="shared" si="0"/>
        <v>9500</v>
      </c>
      <c r="G31">
        <v>63</v>
      </c>
      <c r="H31">
        <f t="shared" si="1"/>
        <v>6300</v>
      </c>
      <c r="I31">
        <v>46</v>
      </c>
      <c r="J31">
        <f t="shared" si="2"/>
        <v>4600</v>
      </c>
      <c r="K31">
        <v>5</v>
      </c>
      <c r="L31">
        <v>3</v>
      </c>
      <c r="M31">
        <v>167</v>
      </c>
      <c r="N31">
        <v>23</v>
      </c>
      <c r="O31">
        <v>220</v>
      </c>
      <c r="P31">
        <v>73</v>
      </c>
    </row>
    <row r="32" spans="1:16" x14ac:dyDescent="0.2">
      <c r="A32" t="s">
        <v>59</v>
      </c>
      <c r="B32">
        <v>3</v>
      </c>
      <c r="C32">
        <v>6351</v>
      </c>
      <c r="D32">
        <v>48</v>
      </c>
      <c r="E32">
        <v>68</v>
      </c>
      <c r="F32">
        <f t="shared" si="0"/>
        <v>6800</v>
      </c>
      <c r="G32">
        <v>47</v>
      </c>
      <c r="H32">
        <f t="shared" si="1"/>
        <v>4700</v>
      </c>
      <c r="I32">
        <v>11</v>
      </c>
      <c r="J32">
        <f t="shared" si="2"/>
        <v>1100</v>
      </c>
      <c r="K32">
        <v>1</v>
      </c>
      <c r="L32">
        <v>3</v>
      </c>
      <c r="M32">
        <v>41</v>
      </c>
      <c r="N32">
        <v>13</v>
      </c>
      <c r="O32">
        <v>139</v>
      </c>
      <c r="P32">
        <v>13</v>
      </c>
    </row>
    <row r="33" spans="1:16" x14ac:dyDescent="0.2">
      <c r="A33" t="s">
        <v>60</v>
      </c>
      <c r="B33">
        <v>3</v>
      </c>
      <c r="C33">
        <v>4578</v>
      </c>
      <c r="D33">
        <v>25</v>
      </c>
      <c r="E33">
        <v>93</v>
      </c>
      <c r="F33">
        <f t="shared" si="0"/>
        <v>9300</v>
      </c>
      <c r="G33">
        <v>31</v>
      </c>
      <c r="H33">
        <f t="shared" si="1"/>
        <v>3100</v>
      </c>
      <c r="I33">
        <v>1</v>
      </c>
      <c r="J33">
        <f t="shared" si="2"/>
        <v>100</v>
      </c>
      <c r="K33">
        <v>2</v>
      </c>
      <c r="L33">
        <v>2</v>
      </c>
      <c r="M33">
        <v>13</v>
      </c>
      <c r="N33">
        <v>8</v>
      </c>
      <c r="O33">
        <v>181</v>
      </c>
      <c r="P33">
        <v>3</v>
      </c>
    </row>
    <row r="34" spans="1:16" x14ac:dyDescent="0.2">
      <c r="A34" t="s">
        <v>61</v>
      </c>
      <c r="B34">
        <v>5</v>
      </c>
      <c r="C34">
        <v>2066</v>
      </c>
      <c r="D34">
        <v>30</v>
      </c>
      <c r="E34">
        <v>141</v>
      </c>
      <c r="F34">
        <f t="shared" si="0"/>
        <v>14100</v>
      </c>
      <c r="G34">
        <v>57</v>
      </c>
      <c r="H34">
        <f t="shared" si="1"/>
        <v>5700</v>
      </c>
      <c r="I34">
        <v>6</v>
      </c>
      <c r="J34">
        <f t="shared" si="2"/>
        <v>600</v>
      </c>
      <c r="K34">
        <v>9</v>
      </c>
      <c r="L34">
        <v>2</v>
      </c>
      <c r="M34">
        <v>6</v>
      </c>
      <c r="N34">
        <v>36</v>
      </c>
      <c r="O34">
        <v>658</v>
      </c>
      <c r="P34">
        <v>6</v>
      </c>
    </row>
    <row r="35" spans="1:16" x14ac:dyDescent="0.2">
      <c r="A35" t="s">
        <v>62</v>
      </c>
      <c r="B35">
        <v>5</v>
      </c>
      <c r="C35">
        <v>2201</v>
      </c>
      <c r="D35">
        <v>95</v>
      </c>
      <c r="E35">
        <v>1099</v>
      </c>
      <c r="F35">
        <f t="shared" si="0"/>
        <v>109900</v>
      </c>
      <c r="G35">
        <v>136</v>
      </c>
      <c r="H35">
        <f t="shared" si="1"/>
        <v>13600</v>
      </c>
      <c r="I35">
        <v>5</v>
      </c>
      <c r="J35">
        <f t="shared" si="2"/>
        <v>500</v>
      </c>
      <c r="K35">
        <v>55</v>
      </c>
      <c r="L35">
        <v>34</v>
      </c>
      <c r="M35">
        <v>40</v>
      </c>
      <c r="N35">
        <v>119</v>
      </c>
      <c r="O35">
        <v>1005</v>
      </c>
      <c r="P35">
        <v>20</v>
      </c>
    </row>
    <row r="36" spans="1:16" x14ac:dyDescent="0.2">
      <c r="A36" t="s">
        <v>63</v>
      </c>
      <c r="B36">
        <v>11</v>
      </c>
      <c r="C36">
        <v>3856</v>
      </c>
      <c r="D36">
        <v>3052</v>
      </c>
      <c r="E36">
        <v>4194</v>
      </c>
      <c r="F36">
        <f t="shared" si="0"/>
        <v>419400</v>
      </c>
      <c r="G36">
        <v>192</v>
      </c>
      <c r="H36">
        <f t="shared" si="1"/>
        <v>19200</v>
      </c>
      <c r="I36">
        <v>26</v>
      </c>
      <c r="J36">
        <f t="shared" si="2"/>
        <v>2600</v>
      </c>
      <c r="K36">
        <v>157</v>
      </c>
      <c r="L36">
        <v>25</v>
      </c>
      <c r="M36">
        <v>42</v>
      </c>
      <c r="N36">
        <v>158</v>
      </c>
      <c r="O36">
        <v>1082</v>
      </c>
      <c r="P36">
        <v>40</v>
      </c>
    </row>
    <row r="37" spans="1:16" x14ac:dyDescent="0.2">
      <c r="A37" t="s">
        <v>64</v>
      </c>
      <c r="B37">
        <v>18</v>
      </c>
      <c r="C37">
        <v>2723</v>
      </c>
      <c r="D37">
        <v>7063</v>
      </c>
      <c r="E37">
        <v>3499</v>
      </c>
      <c r="F37">
        <f t="shared" si="0"/>
        <v>349900</v>
      </c>
      <c r="G37">
        <v>152</v>
      </c>
      <c r="H37">
        <f t="shared" si="1"/>
        <v>15200</v>
      </c>
      <c r="I37">
        <v>72</v>
      </c>
      <c r="J37">
        <f t="shared" si="2"/>
        <v>7200</v>
      </c>
      <c r="K37">
        <v>130</v>
      </c>
      <c r="L37">
        <v>13</v>
      </c>
      <c r="M37">
        <v>59</v>
      </c>
      <c r="N37">
        <v>85</v>
      </c>
      <c r="O37">
        <v>671</v>
      </c>
      <c r="P37">
        <v>212</v>
      </c>
    </row>
    <row r="38" spans="1:16" x14ac:dyDescent="0.2">
      <c r="A38" t="s">
        <v>65</v>
      </c>
      <c r="B38">
        <v>9</v>
      </c>
      <c r="C38">
        <v>1462</v>
      </c>
      <c r="D38">
        <v>2445</v>
      </c>
      <c r="E38">
        <v>1392</v>
      </c>
      <c r="F38">
        <f t="shared" si="0"/>
        <v>139200</v>
      </c>
      <c r="G38">
        <v>145</v>
      </c>
      <c r="H38">
        <f t="shared" si="1"/>
        <v>14500</v>
      </c>
      <c r="I38">
        <v>133</v>
      </c>
      <c r="J38">
        <f t="shared" si="2"/>
        <v>13300</v>
      </c>
      <c r="K38">
        <v>61</v>
      </c>
      <c r="L38">
        <v>10</v>
      </c>
      <c r="M38">
        <v>77</v>
      </c>
      <c r="N38">
        <v>28</v>
      </c>
      <c r="O38">
        <v>506</v>
      </c>
      <c r="P38">
        <v>277</v>
      </c>
    </row>
    <row r="39" spans="1:16" x14ac:dyDescent="0.2">
      <c r="A39" t="s">
        <v>66</v>
      </c>
      <c r="B39">
        <v>14</v>
      </c>
      <c r="C39">
        <v>1618</v>
      </c>
      <c r="D39">
        <v>324</v>
      </c>
      <c r="E39">
        <v>511</v>
      </c>
      <c r="F39">
        <f t="shared" si="0"/>
        <v>51100</v>
      </c>
      <c r="G39">
        <v>155</v>
      </c>
      <c r="H39">
        <f t="shared" si="1"/>
        <v>15500</v>
      </c>
      <c r="I39">
        <v>203</v>
      </c>
      <c r="J39">
        <f t="shared" si="2"/>
        <v>20300</v>
      </c>
      <c r="K39">
        <v>35</v>
      </c>
      <c r="L39">
        <v>10</v>
      </c>
      <c r="M39">
        <v>118</v>
      </c>
      <c r="N39">
        <v>12</v>
      </c>
      <c r="O39">
        <v>645</v>
      </c>
      <c r="P39">
        <v>331</v>
      </c>
    </row>
    <row r="40" spans="1:16" x14ac:dyDescent="0.2">
      <c r="A40" t="s">
        <v>67</v>
      </c>
      <c r="B40">
        <v>5</v>
      </c>
      <c r="C40">
        <v>1135</v>
      </c>
      <c r="D40">
        <v>197</v>
      </c>
      <c r="E40">
        <v>234</v>
      </c>
      <c r="F40">
        <f t="shared" si="0"/>
        <v>23400</v>
      </c>
      <c r="G40">
        <v>219</v>
      </c>
      <c r="H40">
        <f t="shared" si="1"/>
        <v>21900</v>
      </c>
      <c r="I40">
        <v>570</v>
      </c>
      <c r="J40">
        <f t="shared" si="2"/>
        <v>57000</v>
      </c>
      <c r="K40">
        <v>47</v>
      </c>
      <c r="L40">
        <v>44</v>
      </c>
      <c r="M40">
        <v>277</v>
      </c>
      <c r="N40">
        <v>12</v>
      </c>
      <c r="O40">
        <v>666</v>
      </c>
      <c r="P40">
        <v>454</v>
      </c>
    </row>
    <row r="41" spans="1:16" x14ac:dyDescent="0.2">
      <c r="A41" t="s">
        <v>68</v>
      </c>
      <c r="B41">
        <v>9</v>
      </c>
      <c r="C41">
        <v>734</v>
      </c>
      <c r="D41">
        <v>199</v>
      </c>
      <c r="E41">
        <v>90</v>
      </c>
      <c r="F41">
        <f t="shared" si="0"/>
        <v>9000</v>
      </c>
      <c r="G41">
        <v>208</v>
      </c>
      <c r="H41">
        <f t="shared" si="1"/>
        <v>20800</v>
      </c>
      <c r="I41">
        <v>514</v>
      </c>
      <c r="J41">
        <f t="shared" si="2"/>
        <v>51400</v>
      </c>
      <c r="K41">
        <v>63</v>
      </c>
      <c r="L41">
        <v>66</v>
      </c>
      <c r="M41">
        <v>286</v>
      </c>
      <c r="N41">
        <v>5</v>
      </c>
      <c r="O41">
        <v>762</v>
      </c>
      <c r="P41">
        <v>204</v>
      </c>
    </row>
    <row r="42" spans="1:16" x14ac:dyDescent="0.2">
      <c r="A42" t="s">
        <v>69</v>
      </c>
      <c r="B42">
        <v>6</v>
      </c>
      <c r="C42">
        <v>346</v>
      </c>
      <c r="D42">
        <v>151</v>
      </c>
      <c r="E42">
        <v>27</v>
      </c>
      <c r="F42">
        <f t="shared" si="0"/>
        <v>2700</v>
      </c>
      <c r="G42">
        <v>184</v>
      </c>
      <c r="H42">
        <f t="shared" si="1"/>
        <v>18400</v>
      </c>
      <c r="I42">
        <v>210</v>
      </c>
      <c r="J42">
        <f t="shared" si="2"/>
        <v>21000</v>
      </c>
      <c r="K42">
        <v>40</v>
      </c>
      <c r="L42">
        <v>67</v>
      </c>
      <c r="M42">
        <v>244</v>
      </c>
      <c r="N42">
        <v>7</v>
      </c>
      <c r="O42">
        <v>866</v>
      </c>
      <c r="P42">
        <v>92</v>
      </c>
    </row>
    <row r="43" spans="1:16" x14ac:dyDescent="0.2">
      <c r="A43" t="s">
        <v>70</v>
      </c>
      <c r="B43">
        <v>4</v>
      </c>
      <c r="C43">
        <v>166</v>
      </c>
      <c r="D43">
        <v>60</v>
      </c>
      <c r="E43">
        <v>13</v>
      </c>
      <c r="F43">
        <f t="shared" si="0"/>
        <v>1300</v>
      </c>
      <c r="G43">
        <v>193</v>
      </c>
      <c r="H43">
        <f t="shared" si="1"/>
        <v>19300</v>
      </c>
      <c r="I43">
        <v>28</v>
      </c>
      <c r="J43">
        <f t="shared" si="2"/>
        <v>2800</v>
      </c>
      <c r="K43">
        <v>25</v>
      </c>
      <c r="L43">
        <v>74</v>
      </c>
      <c r="M43">
        <v>82</v>
      </c>
      <c r="N43">
        <v>12</v>
      </c>
      <c r="O43">
        <v>646</v>
      </c>
      <c r="P43">
        <v>28</v>
      </c>
    </row>
    <row r="44" spans="1:16" x14ac:dyDescent="0.2">
      <c r="A44" t="s">
        <v>71</v>
      </c>
      <c r="B44">
        <v>2</v>
      </c>
      <c r="C44">
        <v>286</v>
      </c>
      <c r="D44">
        <v>46</v>
      </c>
      <c r="E44">
        <v>13</v>
      </c>
      <c r="F44">
        <f t="shared" si="0"/>
        <v>1300</v>
      </c>
      <c r="G44">
        <v>145</v>
      </c>
      <c r="H44">
        <f t="shared" si="1"/>
        <v>14500</v>
      </c>
      <c r="I44">
        <v>12</v>
      </c>
      <c r="J44">
        <f t="shared" si="2"/>
        <v>1200</v>
      </c>
      <c r="K44">
        <v>10</v>
      </c>
      <c r="L44">
        <v>37</v>
      </c>
      <c r="M44">
        <v>34</v>
      </c>
      <c r="N44">
        <v>1</v>
      </c>
      <c r="O44">
        <v>385</v>
      </c>
      <c r="P44">
        <v>14</v>
      </c>
    </row>
    <row r="45" spans="1:16" x14ac:dyDescent="0.2">
      <c r="A45" t="s">
        <v>72</v>
      </c>
      <c r="B45">
        <v>3</v>
      </c>
      <c r="C45">
        <v>1119</v>
      </c>
      <c r="D45">
        <v>39</v>
      </c>
      <c r="E45">
        <v>28</v>
      </c>
      <c r="F45">
        <f t="shared" si="0"/>
        <v>2800</v>
      </c>
      <c r="G45">
        <v>134</v>
      </c>
      <c r="H45">
        <f t="shared" si="1"/>
        <v>13400</v>
      </c>
      <c r="I45">
        <v>8</v>
      </c>
      <c r="J45">
        <f t="shared" si="2"/>
        <v>800</v>
      </c>
      <c r="K45">
        <v>14</v>
      </c>
      <c r="L45">
        <v>24</v>
      </c>
      <c r="M45">
        <v>12</v>
      </c>
      <c r="N45">
        <v>1</v>
      </c>
      <c r="O45">
        <v>361</v>
      </c>
      <c r="P45">
        <v>21</v>
      </c>
    </row>
    <row r="46" spans="1:16" x14ac:dyDescent="0.2">
      <c r="A46" t="s">
        <v>73</v>
      </c>
      <c r="B46">
        <v>4</v>
      </c>
      <c r="C46">
        <v>1282</v>
      </c>
      <c r="D46">
        <v>56</v>
      </c>
      <c r="E46">
        <v>36</v>
      </c>
      <c r="F46">
        <f t="shared" si="0"/>
        <v>3600</v>
      </c>
      <c r="G46">
        <v>96</v>
      </c>
      <c r="H46">
        <f t="shared" si="1"/>
        <v>9600</v>
      </c>
      <c r="I46">
        <v>2</v>
      </c>
      <c r="J46">
        <f t="shared" si="2"/>
        <v>200</v>
      </c>
      <c r="K46">
        <v>32</v>
      </c>
      <c r="L46">
        <v>14</v>
      </c>
      <c r="M46">
        <v>12</v>
      </c>
      <c r="N46">
        <v>12</v>
      </c>
      <c r="O46">
        <v>1004</v>
      </c>
      <c r="P46">
        <v>9</v>
      </c>
    </row>
    <row r="47" spans="1:16" x14ac:dyDescent="0.2">
      <c r="A47" t="s">
        <v>74</v>
      </c>
      <c r="B47">
        <v>5</v>
      </c>
      <c r="C47">
        <v>1877</v>
      </c>
      <c r="D47">
        <v>205</v>
      </c>
      <c r="E47">
        <v>153</v>
      </c>
      <c r="F47">
        <f t="shared" si="0"/>
        <v>15300</v>
      </c>
      <c r="G47">
        <v>132</v>
      </c>
      <c r="H47">
        <f t="shared" si="1"/>
        <v>13200</v>
      </c>
      <c r="I47">
        <v>6</v>
      </c>
      <c r="J47">
        <f t="shared" si="2"/>
        <v>600</v>
      </c>
      <c r="K47">
        <v>88</v>
      </c>
      <c r="L47">
        <v>63</v>
      </c>
      <c r="M47">
        <v>7</v>
      </c>
      <c r="N47">
        <v>19</v>
      </c>
      <c r="O47">
        <v>1039</v>
      </c>
      <c r="P47">
        <v>33</v>
      </c>
    </row>
    <row r="48" spans="1:16" x14ac:dyDescent="0.2">
      <c r="A48" t="s">
        <v>75</v>
      </c>
      <c r="B48">
        <v>3</v>
      </c>
      <c r="C48">
        <v>2475</v>
      </c>
      <c r="D48">
        <v>1162</v>
      </c>
      <c r="E48">
        <v>539</v>
      </c>
      <c r="F48">
        <f t="shared" si="0"/>
        <v>53900</v>
      </c>
      <c r="G48">
        <v>142</v>
      </c>
      <c r="H48">
        <f t="shared" si="1"/>
        <v>14200</v>
      </c>
      <c r="I48">
        <v>18</v>
      </c>
      <c r="J48">
        <f t="shared" si="2"/>
        <v>1800</v>
      </c>
      <c r="K48">
        <v>111</v>
      </c>
      <c r="L48">
        <v>53</v>
      </c>
      <c r="M48">
        <v>8</v>
      </c>
      <c r="N48">
        <v>28</v>
      </c>
      <c r="O48">
        <v>1009</v>
      </c>
      <c r="P48">
        <v>48</v>
      </c>
    </row>
    <row r="49" spans="1:16" x14ac:dyDescent="0.2">
      <c r="A49" t="s">
        <v>76</v>
      </c>
      <c r="B49">
        <v>10</v>
      </c>
      <c r="C49">
        <v>2281</v>
      </c>
      <c r="D49">
        <v>3849</v>
      </c>
      <c r="E49">
        <v>2322</v>
      </c>
      <c r="F49">
        <f t="shared" si="0"/>
        <v>232200</v>
      </c>
      <c r="G49">
        <v>158</v>
      </c>
      <c r="H49">
        <f t="shared" si="1"/>
        <v>15800</v>
      </c>
      <c r="I49">
        <v>31</v>
      </c>
      <c r="J49">
        <f t="shared" si="2"/>
        <v>3100</v>
      </c>
      <c r="K49">
        <v>69</v>
      </c>
      <c r="L49">
        <v>37</v>
      </c>
      <c r="M49">
        <v>14</v>
      </c>
      <c r="N49">
        <v>55</v>
      </c>
      <c r="O49">
        <v>713</v>
      </c>
      <c r="P49">
        <v>139</v>
      </c>
    </row>
    <row r="50" spans="1:16" x14ac:dyDescent="0.2">
      <c r="A50" t="s">
        <v>77</v>
      </c>
      <c r="B50">
        <v>7</v>
      </c>
      <c r="C50">
        <v>1692</v>
      </c>
      <c r="D50">
        <v>4841</v>
      </c>
      <c r="E50">
        <v>2689</v>
      </c>
      <c r="F50">
        <f t="shared" si="0"/>
        <v>268900</v>
      </c>
      <c r="G50">
        <v>131</v>
      </c>
      <c r="H50">
        <f t="shared" si="1"/>
        <v>13100</v>
      </c>
      <c r="I50">
        <v>61</v>
      </c>
      <c r="J50">
        <f t="shared" si="2"/>
        <v>6100</v>
      </c>
      <c r="K50">
        <v>47</v>
      </c>
      <c r="L50">
        <v>15</v>
      </c>
      <c r="M50">
        <v>17</v>
      </c>
      <c r="N50">
        <v>36</v>
      </c>
      <c r="O50">
        <v>591</v>
      </c>
      <c r="P50">
        <v>266</v>
      </c>
    </row>
    <row r="51" spans="1:16" x14ac:dyDescent="0.2">
      <c r="A51" t="s">
        <v>78</v>
      </c>
      <c r="B51">
        <v>9</v>
      </c>
      <c r="C51">
        <v>1271</v>
      </c>
      <c r="D51">
        <v>2990</v>
      </c>
      <c r="E51">
        <v>1659</v>
      </c>
      <c r="F51">
        <f t="shared" si="0"/>
        <v>165900</v>
      </c>
      <c r="G51">
        <v>92</v>
      </c>
      <c r="H51">
        <f t="shared" si="1"/>
        <v>9200</v>
      </c>
      <c r="I51">
        <v>60</v>
      </c>
      <c r="J51">
        <f t="shared" si="2"/>
        <v>6000</v>
      </c>
      <c r="K51">
        <v>18</v>
      </c>
      <c r="L51">
        <v>2</v>
      </c>
      <c r="M51">
        <v>21</v>
      </c>
      <c r="N51">
        <v>10</v>
      </c>
      <c r="O51">
        <v>580</v>
      </c>
      <c r="P51">
        <v>386</v>
      </c>
    </row>
    <row r="52" spans="1:16" x14ac:dyDescent="0.2">
      <c r="A52" t="s">
        <v>79</v>
      </c>
      <c r="B52">
        <v>4</v>
      </c>
      <c r="C52">
        <v>522</v>
      </c>
      <c r="D52">
        <v>1837</v>
      </c>
      <c r="E52">
        <v>895</v>
      </c>
      <c r="F52">
        <f t="shared" si="0"/>
        <v>89500</v>
      </c>
      <c r="G52">
        <v>121</v>
      </c>
      <c r="H52">
        <f t="shared" si="1"/>
        <v>12100</v>
      </c>
      <c r="I52">
        <v>218</v>
      </c>
      <c r="J52">
        <f t="shared" si="2"/>
        <v>21800</v>
      </c>
      <c r="K52">
        <v>17</v>
      </c>
      <c r="L52">
        <v>7</v>
      </c>
      <c r="M52">
        <v>95</v>
      </c>
      <c r="N52">
        <v>16</v>
      </c>
      <c r="O52">
        <v>668</v>
      </c>
      <c r="P52">
        <v>488</v>
      </c>
    </row>
    <row r="53" spans="1:16" x14ac:dyDescent="0.2">
      <c r="A53" s="3">
        <v>45383</v>
      </c>
      <c r="B53">
        <v>2</v>
      </c>
      <c r="D53">
        <v>699</v>
      </c>
      <c r="E53">
        <v>327</v>
      </c>
      <c r="F53">
        <f t="shared" si="0"/>
        <v>32700</v>
      </c>
      <c r="G53">
        <v>150</v>
      </c>
      <c r="H53">
        <f t="shared" si="1"/>
        <v>15000</v>
      </c>
      <c r="I53">
        <v>416</v>
      </c>
      <c r="J53">
        <f t="shared" si="2"/>
        <v>41600</v>
      </c>
      <c r="K53">
        <v>15</v>
      </c>
      <c r="L53">
        <v>5</v>
      </c>
      <c r="M53">
        <v>245</v>
      </c>
      <c r="N53">
        <v>33</v>
      </c>
      <c r="O53">
        <v>897</v>
      </c>
      <c r="P53">
        <v>255</v>
      </c>
    </row>
    <row r="54" spans="1:16" x14ac:dyDescent="0.2">
      <c r="A54" s="3">
        <v>45413</v>
      </c>
      <c r="B54">
        <v>3</v>
      </c>
      <c r="D54">
        <v>346</v>
      </c>
      <c r="E54">
        <v>133</v>
      </c>
      <c r="F54">
        <f t="shared" si="0"/>
        <v>13300</v>
      </c>
      <c r="G54">
        <v>135</v>
      </c>
      <c r="H54">
        <f t="shared" si="1"/>
        <v>13500</v>
      </c>
      <c r="I54">
        <v>437</v>
      </c>
      <c r="J54">
        <f t="shared" si="2"/>
        <v>43700</v>
      </c>
      <c r="K54">
        <v>25</v>
      </c>
      <c r="L54">
        <v>3</v>
      </c>
      <c r="M54">
        <v>491</v>
      </c>
      <c r="N54">
        <v>33</v>
      </c>
      <c r="O54">
        <v>1065</v>
      </c>
      <c r="P54">
        <v>120</v>
      </c>
    </row>
    <row r="55" spans="1:16" x14ac:dyDescent="0.2">
      <c r="A55" s="3">
        <v>45444</v>
      </c>
      <c r="B55">
        <v>3</v>
      </c>
      <c r="D55">
        <v>142</v>
      </c>
      <c r="E55">
        <v>40</v>
      </c>
      <c r="F55">
        <f t="shared" si="0"/>
        <v>4000</v>
      </c>
      <c r="G55">
        <v>131</v>
      </c>
      <c r="H55">
        <f t="shared" si="1"/>
        <v>13100</v>
      </c>
      <c r="I55">
        <v>248</v>
      </c>
      <c r="J55">
        <f t="shared" si="2"/>
        <v>24800</v>
      </c>
      <c r="K55">
        <v>18</v>
      </c>
      <c r="L55">
        <v>2</v>
      </c>
      <c r="M55">
        <v>365</v>
      </c>
      <c r="N55">
        <v>26</v>
      </c>
      <c r="O55">
        <v>734</v>
      </c>
      <c r="P55">
        <v>60</v>
      </c>
    </row>
    <row r="56" spans="1:16" x14ac:dyDescent="0.2">
      <c r="A56" s="3">
        <v>45474</v>
      </c>
      <c r="B56">
        <v>4</v>
      </c>
      <c r="D56">
        <v>74</v>
      </c>
      <c r="E56">
        <v>16</v>
      </c>
      <c r="F56">
        <f t="shared" si="0"/>
        <v>1600</v>
      </c>
      <c r="G56">
        <v>56</v>
      </c>
      <c r="H56">
        <f t="shared" si="1"/>
        <v>5600</v>
      </c>
      <c r="I56">
        <v>37</v>
      </c>
      <c r="J56">
        <f t="shared" si="2"/>
        <v>3700</v>
      </c>
      <c r="K56">
        <v>9</v>
      </c>
      <c r="L56">
        <v>4</v>
      </c>
      <c r="M56">
        <v>87</v>
      </c>
      <c r="N56">
        <v>26</v>
      </c>
      <c r="O56">
        <v>366</v>
      </c>
      <c r="P56">
        <v>22</v>
      </c>
    </row>
    <row r="57" spans="1:16" x14ac:dyDescent="0.2">
      <c r="A57" s="3">
        <v>45505</v>
      </c>
      <c r="B57">
        <v>3</v>
      </c>
      <c r="D57">
        <v>38</v>
      </c>
      <c r="E57">
        <v>8</v>
      </c>
      <c r="F57">
        <f t="shared" si="0"/>
        <v>800</v>
      </c>
      <c r="G57">
        <v>60</v>
      </c>
      <c r="H57">
        <f t="shared" si="1"/>
        <v>6000</v>
      </c>
      <c r="I57">
        <v>295</v>
      </c>
      <c r="J57">
        <f t="shared" si="2"/>
        <v>29500</v>
      </c>
      <c r="K57">
        <v>9</v>
      </c>
      <c r="L57">
        <v>8</v>
      </c>
      <c r="M57">
        <v>9</v>
      </c>
      <c r="N57">
        <v>35</v>
      </c>
      <c r="O57">
        <v>438</v>
      </c>
      <c r="P57">
        <v>13</v>
      </c>
    </row>
    <row r="58" spans="1:16" x14ac:dyDescent="0.2">
      <c r="A58" s="3">
        <v>45536</v>
      </c>
      <c r="B58">
        <v>4</v>
      </c>
      <c r="D58">
        <v>45</v>
      </c>
      <c r="E58">
        <v>7</v>
      </c>
      <c r="F58">
        <f t="shared" si="0"/>
        <v>700</v>
      </c>
      <c r="G58">
        <v>67</v>
      </c>
      <c r="H58">
        <f t="shared" si="1"/>
        <v>6700</v>
      </c>
      <c r="I58">
        <v>4</v>
      </c>
      <c r="J58">
        <f t="shared" si="2"/>
        <v>400</v>
      </c>
      <c r="K58">
        <v>17</v>
      </c>
      <c r="L58">
        <v>11</v>
      </c>
      <c r="M58">
        <v>10</v>
      </c>
      <c r="N58">
        <v>56</v>
      </c>
      <c r="O58">
        <v>1080</v>
      </c>
      <c r="P58">
        <v>22</v>
      </c>
    </row>
    <row r="59" spans="1:16" x14ac:dyDescent="0.2">
      <c r="A59" s="3">
        <v>45566</v>
      </c>
      <c r="B59">
        <v>6</v>
      </c>
      <c r="D59">
        <v>148</v>
      </c>
      <c r="E59">
        <v>26</v>
      </c>
      <c r="F59">
        <f t="shared" si="0"/>
        <v>2600</v>
      </c>
      <c r="G59">
        <v>92</v>
      </c>
      <c r="H59">
        <f t="shared" si="1"/>
        <v>9200</v>
      </c>
      <c r="I59">
        <v>11</v>
      </c>
      <c r="J59">
        <f t="shared" si="2"/>
        <v>1100</v>
      </c>
      <c r="K59">
        <v>49</v>
      </c>
      <c r="L59">
        <v>16</v>
      </c>
      <c r="M59">
        <v>12</v>
      </c>
      <c r="N59">
        <v>101</v>
      </c>
      <c r="O59">
        <v>1093</v>
      </c>
      <c r="P59">
        <v>23</v>
      </c>
    </row>
    <row r="60" spans="1:16" x14ac:dyDescent="0.2">
      <c r="A60" s="3">
        <v>45597</v>
      </c>
      <c r="B60">
        <v>2</v>
      </c>
      <c r="D60">
        <v>374</v>
      </c>
      <c r="E60">
        <v>148</v>
      </c>
      <c r="F60">
        <f t="shared" si="0"/>
        <v>14800</v>
      </c>
      <c r="G60">
        <v>117</v>
      </c>
      <c r="H60">
        <f t="shared" si="1"/>
        <v>11700</v>
      </c>
      <c r="I60">
        <v>16</v>
      </c>
      <c r="J60">
        <f t="shared" si="2"/>
        <v>1600</v>
      </c>
      <c r="K60">
        <v>103</v>
      </c>
      <c r="L60">
        <v>10</v>
      </c>
      <c r="M60">
        <v>26</v>
      </c>
      <c r="N60">
        <v>132</v>
      </c>
      <c r="O60">
        <v>1054</v>
      </c>
      <c r="P60">
        <v>77</v>
      </c>
    </row>
    <row r="61" spans="1:16" x14ac:dyDescent="0.2">
      <c r="A61" s="3">
        <v>45627</v>
      </c>
      <c r="B61">
        <v>8</v>
      </c>
      <c r="D61">
        <v>1390</v>
      </c>
      <c r="E61">
        <v>602</v>
      </c>
      <c r="F61">
        <f t="shared" si="0"/>
        <v>60200</v>
      </c>
      <c r="G61">
        <v>133</v>
      </c>
      <c r="H61">
        <f t="shared" si="1"/>
        <v>13300</v>
      </c>
      <c r="I61">
        <v>44</v>
      </c>
      <c r="J61">
        <f t="shared" si="2"/>
        <v>4400</v>
      </c>
      <c r="K61">
        <v>131</v>
      </c>
      <c r="L61">
        <v>17</v>
      </c>
      <c r="M61">
        <v>10</v>
      </c>
      <c r="N61">
        <v>154</v>
      </c>
      <c r="O61">
        <v>1027</v>
      </c>
      <c r="P61">
        <v>321</v>
      </c>
    </row>
    <row r="62" spans="1:16" x14ac:dyDescent="0.2">
      <c r="A62" s="3">
        <v>45658</v>
      </c>
      <c r="B62">
        <v>6</v>
      </c>
      <c r="D62">
        <v>4905</v>
      </c>
      <c r="E62">
        <v>1838</v>
      </c>
      <c r="F62">
        <f t="shared" si="0"/>
        <v>183800</v>
      </c>
      <c r="G62">
        <v>118</v>
      </c>
      <c r="H62">
        <f t="shared" si="1"/>
        <v>11800</v>
      </c>
      <c r="I62">
        <v>111</v>
      </c>
      <c r="J62">
        <f t="shared" si="2"/>
        <v>11100</v>
      </c>
      <c r="K62">
        <v>73</v>
      </c>
      <c r="L62">
        <v>12</v>
      </c>
      <c r="M62">
        <v>37</v>
      </c>
      <c r="N62">
        <v>64</v>
      </c>
      <c r="O62">
        <v>680</v>
      </c>
      <c r="P62">
        <v>500</v>
      </c>
    </row>
    <row r="63" spans="1:16" x14ac:dyDescent="0.2">
      <c r="A63" s="3">
        <v>45689</v>
      </c>
      <c r="B63">
        <v>12</v>
      </c>
      <c r="D63">
        <v>6170</v>
      </c>
      <c r="E63">
        <v>2597</v>
      </c>
      <c r="F63">
        <f t="shared" si="0"/>
        <v>259700</v>
      </c>
      <c r="G63">
        <v>96</v>
      </c>
      <c r="H63">
        <f t="shared" si="1"/>
        <v>9600</v>
      </c>
      <c r="I63">
        <v>196</v>
      </c>
      <c r="J63">
        <f t="shared" si="2"/>
        <v>19600</v>
      </c>
      <c r="K63">
        <v>31</v>
      </c>
      <c r="L63">
        <v>6</v>
      </c>
      <c r="M63">
        <v>21</v>
      </c>
      <c r="N63">
        <v>25</v>
      </c>
      <c r="O63">
        <v>565</v>
      </c>
      <c r="P63">
        <v>470</v>
      </c>
    </row>
    <row r="64" spans="1:16" x14ac:dyDescent="0.2">
      <c r="A64" s="3">
        <v>45717</v>
      </c>
      <c r="B64">
        <v>7</v>
      </c>
      <c r="D64">
        <v>2585</v>
      </c>
      <c r="E64">
        <v>1846</v>
      </c>
      <c r="F64">
        <f t="shared" si="0"/>
        <v>184600</v>
      </c>
      <c r="G64">
        <v>146</v>
      </c>
      <c r="H64">
        <f t="shared" si="1"/>
        <v>14600</v>
      </c>
      <c r="I64">
        <v>391</v>
      </c>
      <c r="J64">
        <f t="shared" si="2"/>
        <v>39100</v>
      </c>
      <c r="K64">
        <v>17</v>
      </c>
      <c r="L64">
        <v>13</v>
      </c>
      <c r="M64">
        <v>116</v>
      </c>
      <c r="N64">
        <v>18</v>
      </c>
      <c r="O64">
        <v>773</v>
      </c>
      <c r="P64">
        <v>443</v>
      </c>
    </row>
    <row r="65" spans="1:16" x14ac:dyDescent="0.2">
      <c r="A65" s="3">
        <v>45748</v>
      </c>
      <c r="B65">
        <v>4</v>
      </c>
      <c r="D65">
        <v>661</v>
      </c>
      <c r="E65">
        <v>612</v>
      </c>
      <c r="F65">
        <f t="shared" si="0"/>
        <v>61200</v>
      </c>
      <c r="G65">
        <v>125</v>
      </c>
      <c r="H65">
        <f t="shared" si="1"/>
        <v>12500</v>
      </c>
      <c r="I65">
        <v>405</v>
      </c>
      <c r="J65">
        <f t="shared" si="2"/>
        <v>40500</v>
      </c>
      <c r="K65">
        <v>24</v>
      </c>
      <c r="L65">
        <v>3</v>
      </c>
      <c r="M65">
        <v>205</v>
      </c>
      <c r="N65">
        <v>8</v>
      </c>
      <c r="O65">
        <v>766</v>
      </c>
      <c r="P65">
        <v>208</v>
      </c>
    </row>
    <row r="66" spans="1:16" x14ac:dyDescent="0.2">
      <c r="A66" s="3">
        <v>45778</v>
      </c>
      <c r="B66">
        <v>4</v>
      </c>
      <c r="D66">
        <v>531</v>
      </c>
      <c r="E66">
        <v>119</v>
      </c>
      <c r="F66">
        <f t="shared" si="0"/>
        <v>11900</v>
      </c>
      <c r="G66">
        <v>120</v>
      </c>
      <c r="H66">
        <f t="shared" si="1"/>
        <v>12000</v>
      </c>
      <c r="I66">
        <v>297</v>
      </c>
      <c r="J66">
        <f t="shared" si="2"/>
        <v>29700</v>
      </c>
      <c r="K66">
        <v>43</v>
      </c>
      <c r="L66">
        <v>11</v>
      </c>
      <c r="M66">
        <v>351</v>
      </c>
      <c r="N66">
        <v>1</v>
      </c>
      <c r="O66">
        <v>888</v>
      </c>
      <c r="P66">
        <v>72</v>
      </c>
    </row>
    <row r="67" spans="1:16" x14ac:dyDescent="0.2">
      <c r="A67" s="3">
        <v>45809</v>
      </c>
      <c r="B67">
        <v>3</v>
      </c>
      <c r="D67">
        <v>241</v>
      </c>
      <c r="E67">
        <v>30</v>
      </c>
      <c r="F67">
        <f t="shared" si="0"/>
        <v>3000</v>
      </c>
      <c r="G67">
        <v>65</v>
      </c>
      <c r="H67">
        <f t="shared" si="1"/>
        <v>6500</v>
      </c>
      <c r="I67">
        <v>108</v>
      </c>
      <c r="J67">
        <f t="shared" si="2"/>
        <v>10800</v>
      </c>
      <c r="K67">
        <v>17</v>
      </c>
      <c r="L67">
        <v>20</v>
      </c>
      <c r="M67">
        <v>225</v>
      </c>
      <c r="N67">
        <v>9</v>
      </c>
      <c r="O67">
        <v>588</v>
      </c>
      <c r="P67">
        <v>46</v>
      </c>
    </row>
    <row r="68" spans="1:16" x14ac:dyDescent="0.2">
      <c r="A68" s="3">
        <v>45839</v>
      </c>
      <c r="B68">
        <v>2</v>
      </c>
      <c r="D68">
        <v>52</v>
      </c>
      <c r="E68">
        <v>17</v>
      </c>
      <c r="F68">
        <f t="shared" si="0"/>
        <v>1700</v>
      </c>
      <c r="G68">
        <v>44</v>
      </c>
      <c r="H68">
        <f t="shared" si="1"/>
        <v>4400</v>
      </c>
      <c r="I68">
        <v>46</v>
      </c>
      <c r="J68">
        <f t="shared" si="2"/>
        <v>4600</v>
      </c>
      <c r="K68">
        <v>11</v>
      </c>
      <c r="L68">
        <v>19</v>
      </c>
      <c r="M68">
        <v>79</v>
      </c>
      <c r="N68">
        <v>3</v>
      </c>
      <c r="O68">
        <v>341</v>
      </c>
      <c r="P68">
        <v>16</v>
      </c>
    </row>
    <row r="69" spans="1:16" x14ac:dyDescent="0.2">
      <c r="A69" s="3">
        <v>45870</v>
      </c>
      <c r="B69">
        <v>0</v>
      </c>
      <c r="D69">
        <v>31</v>
      </c>
      <c r="E69">
        <v>6</v>
      </c>
      <c r="F69">
        <f t="shared" si="0"/>
        <v>600</v>
      </c>
      <c r="G69">
        <v>38</v>
      </c>
      <c r="H69">
        <f t="shared" si="1"/>
        <v>3800</v>
      </c>
      <c r="I69">
        <v>7</v>
      </c>
      <c r="J69">
        <f t="shared" si="2"/>
        <v>700</v>
      </c>
      <c r="K69">
        <v>14</v>
      </c>
      <c r="L69">
        <v>28</v>
      </c>
      <c r="M69">
        <v>25</v>
      </c>
      <c r="N69">
        <v>3</v>
      </c>
      <c r="O69">
        <v>430</v>
      </c>
      <c r="P69">
        <v>8</v>
      </c>
    </row>
    <row r="70" spans="1:16" x14ac:dyDescent="0.2">
      <c r="A70" s="3">
        <v>45901</v>
      </c>
      <c r="B70">
        <v>4</v>
      </c>
      <c r="D70">
        <v>45</v>
      </c>
      <c r="E70">
        <v>3</v>
      </c>
      <c r="F70">
        <f t="shared" si="0"/>
        <v>300</v>
      </c>
      <c r="G70">
        <v>49</v>
      </c>
      <c r="H70">
        <f t="shared" si="1"/>
        <v>4900</v>
      </c>
      <c r="I70">
        <v>6</v>
      </c>
      <c r="J70">
        <f t="shared" si="2"/>
        <v>600</v>
      </c>
      <c r="K70">
        <v>22</v>
      </c>
      <c r="L70">
        <v>61</v>
      </c>
      <c r="M70">
        <v>12</v>
      </c>
      <c r="N70">
        <v>4</v>
      </c>
      <c r="O70">
        <v>1010</v>
      </c>
      <c r="P70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8DE4-F217-8F42-B8BB-A20B3F06F482}">
  <dimension ref="B14:D25"/>
  <sheetViews>
    <sheetView zoomScale="125" workbookViewId="0">
      <selection activeCell="B14" sqref="B14:D25"/>
    </sheetView>
  </sheetViews>
  <sheetFormatPr baseColWidth="10" defaultRowHeight="16" x14ac:dyDescent="0.2"/>
  <cols>
    <col min="1" max="1" width="27.33203125" customWidth="1"/>
    <col min="2" max="3" width="31.1640625" style="4" customWidth="1"/>
    <col min="4" max="4" width="31.1640625" customWidth="1"/>
  </cols>
  <sheetData>
    <row r="14" spans="2:4" x14ac:dyDescent="0.2">
      <c r="B14" s="9" t="s">
        <v>113</v>
      </c>
      <c r="C14" s="9"/>
      <c r="D14" s="9"/>
    </row>
    <row r="15" spans="2:4" x14ac:dyDescent="0.2">
      <c r="B15" s="7" t="s">
        <v>100</v>
      </c>
      <c r="C15" s="8" t="s">
        <v>110</v>
      </c>
      <c r="D15" s="8" t="s">
        <v>111</v>
      </c>
    </row>
    <row r="16" spans="2:4" x14ac:dyDescent="0.2">
      <c r="B16" s="5" t="s">
        <v>102</v>
      </c>
      <c r="C16" s="6">
        <v>0.68820000000000003</v>
      </c>
      <c r="D16" s="6" t="s">
        <v>112</v>
      </c>
    </row>
    <row r="17" spans="2:4" x14ac:dyDescent="0.2">
      <c r="B17" s="5" t="s">
        <v>104</v>
      </c>
      <c r="C17" s="6">
        <v>0.62990000000000002</v>
      </c>
      <c r="D17" s="6" t="s">
        <v>112</v>
      </c>
    </row>
    <row r="18" spans="2:4" x14ac:dyDescent="0.2">
      <c r="B18" s="5" t="s">
        <v>103</v>
      </c>
      <c r="C18" s="6">
        <v>0.52029999999999998</v>
      </c>
      <c r="D18" s="6">
        <v>2.0000000000000002E-5</v>
      </c>
    </row>
    <row r="19" spans="2:4" x14ac:dyDescent="0.2">
      <c r="B19" s="5" t="s">
        <v>114</v>
      </c>
      <c r="C19" s="6">
        <v>0.4859</v>
      </c>
      <c r="D19" s="6">
        <v>8.0000000000000007E-5</v>
      </c>
    </row>
    <row r="20" spans="2:4" x14ac:dyDescent="0.2">
      <c r="B20" s="5" t="s">
        <v>101</v>
      </c>
      <c r="C20" s="6">
        <v>0.46210000000000001</v>
      </c>
      <c r="D20" s="6">
        <v>2.0000000000000001E-4</v>
      </c>
    </row>
    <row r="21" spans="2:4" x14ac:dyDescent="0.2">
      <c r="B21" s="5" t="s">
        <v>109</v>
      </c>
      <c r="C21" s="6">
        <v>0.34849999999999998</v>
      </c>
      <c r="D21" s="6">
        <v>6.4000000000000003E-3</v>
      </c>
    </row>
    <row r="22" spans="2:4" x14ac:dyDescent="0.2">
      <c r="B22" s="5" t="s">
        <v>105</v>
      </c>
      <c r="C22" s="6">
        <v>0.27150000000000002</v>
      </c>
      <c r="D22" s="6">
        <v>3.5900000000000001E-2</v>
      </c>
    </row>
    <row r="23" spans="2:4" x14ac:dyDescent="0.2">
      <c r="B23" s="5" t="s">
        <v>106</v>
      </c>
      <c r="C23" s="6">
        <v>0.1804</v>
      </c>
      <c r="D23" s="6">
        <v>0.1678</v>
      </c>
    </row>
    <row r="24" spans="2:4" x14ac:dyDescent="0.2">
      <c r="B24" s="5" t="s">
        <v>107</v>
      </c>
      <c r="C24" s="6">
        <v>6.2E-2</v>
      </c>
      <c r="D24" s="6">
        <v>0.63790000000000002</v>
      </c>
    </row>
    <row r="25" spans="2:4" x14ac:dyDescent="0.2">
      <c r="B25" s="5" t="s">
        <v>108</v>
      </c>
      <c r="C25" s="6">
        <v>6.8999999999999999E-3</v>
      </c>
      <c r="D25" s="6">
        <v>0.95830000000000004</v>
      </c>
    </row>
  </sheetData>
  <sortState xmlns:xlrd2="http://schemas.microsoft.com/office/spreadsheetml/2017/richdata2" ref="A3:C14">
    <sortCondition descending="1" ref="B2:B14"/>
  </sortState>
  <mergeCells count="1">
    <mergeCell ref="B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A896-E6BC-5440-B5AC-7959DDF6348B}">
  <dimension ref="A1:M73"/>
  <sheetViews>
    <sheetView zoomScale="50" workbookViewId="0">
      <selection sqref="A1:C1048576"/>
    </sheetView>
  </sheetViews>
  <sheetFormatPr baseColWidth="10" defaultRowHeight="16" x14ac:dyDescent="0.2"/>
  <sheetData>
    <row r="1" spans="1:13" x14ac:dyDescent="0.2">
      <c r="B1" t="s">
        <v>0</v>
      </c>
      <c r="C1" t="s">
        <v>1</v>
      </c>
      <c r="D1" t="s">
        <v>93</v>
      </c>
      <c r="E1" t="s">
        <v>83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81</v>
      </c>
      <c r="M1" t="s">
        <v>92</v>
      </c>
    </row>
    <row r="2" spans="1:13" x14ac:dyDescent="0.2">
      <c r="A2" t="s">
        <v>29</v>
      </c>
      <c r="B2">
        <v>6</v>
      </c>
      <c r="C2">
        <v>0</v>
      </c>
      <c r="D2">
        <v>0.22800000000000001</v>
      </c>
    </row>
    <row r="3" spans="1:13" x14ac:dyDescent="0.2">
      <c r="A3" t="s">
        <v>30</v>
      </c>
      <c r="B3">
        <v>6</v>
      </c>
      <c r="C3">
        <v>0</v>
      </c>
      <c r="D3">
        <v>0.23100000000000001</v>
      </c>
    </row>
    <row r="4" spans="1:13" x14ac:dyDescent="0.2">
      <c r="A4" t="s">
        <v>31</v>
      </c>
      <c r="B4">
        <v>6</v>
      </c>
      <c r="C4">
        <v>170</v>
      </c>
      <c r="D4">
        <v>0.108</v>
      </c>
    </row>
    <row r="5" spans="1:13" x14ac:dyDescent="0.2">
      <c r="A5" t="s">
        <v>32</v>
      </c>
      <c r="B5">
        <v>1</v>
      </c>
      <c r="C5">
        <v>525</v>
      </c>
      <c r="D5">
        <v>5.0000000000000001E-3</v>
      </c>
    </row>
    <row r="6" spans="1:13" x14ac:dyDescent="0.2">
      <c r="A6" t="s">
        <v>33</v>
      </c>
      <c r="B6">
        <v>0</v>
      </c>
      <c r="C6">
        <v>784</v>
      </c>
      <c r="D6">
        <v>1E-3</v>
      </c>
    </row>
    <row r="7" spans="1:13" x14ac:dyDescent="0.2">
      <c r="A7" t="s">
        <v>34</v>
      </c>
      <c r="B7">
        <v>4</v>
      </c>
      <c r="C7">
        <v>646</v>
      </c>
      <c r="D7">
        <v>0</v>
      </c>
    </row>
    <row r="8" spans="1:13" x14ac:dyDescent="0.2">
      <c r="A8" t="s">
        <v>35</v>
      </c>
      <c r="B8">
        <v>3</v>
      </c>
      <c r="C8">
        <v>1548</v>
      </c>
      <c r="D8">
        <v>1E-3</v>
      </c>
    </row>
    <row r="9" spans="1:13" x14ac:dyDescent="0.2">
      <c r="A9" t="s">
        <v>36</v>
      </c>
      <c r="B9">
        <v>1</v>
      </c>
      <c r="C9">
        <v>1208</v>
      </c>
    </row>
    <row r="10" spans="1:13" x14ac:dyDescent="0.2">
      <c r="A10" t="s">
        <v>37</v>
      </c>
      <c r="B10">
        <v>2</v>
      </c>
      <c r="C10">
        <v>1674</v>
      </c>
    </row>
    <row r="11" spans="1:13" x14ac:dyDescent="0.2">
      <c r="A11" t="s">
        <v>38</v>
      </c>
      <c r="B11">
        <v>0</v>
      </c>
      <c r="C11">
        <v>5703</v>
      </c>
      <c r="D11">
        <v>2E-3</v>
      </c>
      <c r="E11">
        <v>8.4245998315080027E-3</v>
      </c>
      <c r="F11">
        <v>2.527379949452401E-3</v>
      </c>
      <c r="G11">
        <v>8.4245998315080029E-4</v>
      </c>
      <c r="H11">
        <v>0</v>
      </c>
      <c r="I11">
        <v>8.4245998315080029E-4</v>
      </c>
      <c r="J11">
        <v>1.6849199663016006E-3</v>
      </c>
      <c r="K11">
        <v>8.4245998315080029E-4</v>
      </c>
      <c r="L11">
        <v>0.17101937657961247</v>
      </c>
      <c r="M11">
        <v>8.4245998315080029E-4</v>
      </c>
    </row>
    <row r="12" spans="1:13" x14ac:dyDescent="0.2">
      <c r="A12" t="s">
        <v>39</v>
      </c>
      <c r="B12">
        <v>2</v>
      </c>
      <c r="C12">
        <v>15545</v>
      </c>
      <c r="D12">
        <v>1E-3</v>
      </c>
      <c r="E12">
        <v>1.8751674256630056E-3</v>
      </c>
      <c r="F12">
        <v>1.8751674256630056E-3</v>
      </c>
      <c r="G12">
        <v>0</v>
      </c>
      <c r="H12">
        <v>2.6788106080900083E-4</v>
      </c>
      <c r="I12">
        <v>2.6788106080900083E-4</v>
      </c>
      <c r="J12">
        <v>1.3394053040450039E-3</v>
      </c>
      <c r="K12">
        <v>0</v>
      </c>
      <c r="L12">
        <v>8.2239485668363241E-2</v>
      </c>
      <c r="M12">
        <v>1.3394053040450039E-3</v>
      </c>
    </row>
    <row r="13" spans="1:13" x14ac:dyDescent="0.2">
      <c r="A13" t="s">
        <v>40</v>
      </c>
      <c r="B13">
        <v>1</v>
      </c>
      <c r="C13">
        <v>10112</v>
      </c>
      <c r="D13">
        <v>2E-3</v>
      </c>
      <c r="E13">
        <v>3.6418816388467377E-3</v>
      </c>
      <c r="F13">
        <v>3.338391502276176E-3</v>
      </c>
      <c r="G13">
        <v>6.0698027314112291E-4</v>
      </c>
      <c r="H13">
        <v>0</v>
      </c>
      <c r="I13">
        <v>9.1047040971168442E-4</v>
      </c>
      <c r="J13">
        <v>3.0349013657056146E-4</v>
      </c>
      <c r="K13">
        <v>6.0698027314112291E-4</v>
      </c>
      <c r="L13">
        <v>4.6130500758725344E-2</v>
      </c>
      <c r="M13">
        <v>1.2139605462822458E-3</v>
      </c>
    </row>
    <row r="14" spans="1:13" x14ac:dyDescent="0.2">
      <c r="A14" t="s">
        <v>41</v>
      </c>
      <c r="B14">
        <v>1</v>
      </c>
      <c r="C14">
        <v>7416</v>
      </c>
      <c r="D14">
        <v>2E-3</v>
      </c>
      <c r="E14">
        <v>2.8653295128939826E-4</v>
      </c>
      <c r="F14">
        <v>1.4326647564469914E-3</v>
      </c>
      <c r="G14">
        <v>2.0057306590257878E-3</v>
      </c>
      <c r="H14">
        <v>0</v>
      </c>
      <c r="I14">
        <v>0</v>
      </c>
      <c r="J14">
        <v>0</v>
      </c>
      <c r="K14">
        <v>0</v>
      </c>
      <c r="L14">
        <v>4.0974212034383957E-2</v>
      </c>
      <c r="M14">
        <v>1.7191977077363897E-3</v>
      </c>
    </row>
    <row r="15" spans="1:13" x14ac:dyDescent="0.2">
      <c r="A15" t="s">
        <v>42</v>
      </c>
      <c r="B15">
        <v>1</v>
      </c>
      <c r="C15">
        <v>4966</v>
      </c>
      <c r="D15">
        <v>1E-3</v>
      </c>
      <c r="E15">
        <v>0</v>
      </c>
      <c r="F15">
        <v>2.6304252520824201E-3</v>
      </c>
      <c r="G15">
        <v>3.0688294607628232E-3</v>
      </c>
      <c r="H15">
        <v>0</v>
      </c>
      <c r="I15">
        <v>0</v>
      </c>
      <c r="J15">
        <v>0</v>
      </c>
      <c r="K15">
        <v>4.3840420868040335E-4</v>
      </c>
      <c r="L15">
        <v>6.7075843928101717E-2</v>
      </c>
      <c r="M15">
        <v>1.7536168347216134E-3</v>
      </c>
    </row>
    <row r="16" spans="1:13" x14ac:dyDescent="0.2">
      <c r="A16" t="s">
        <v>43</v>
      </c>
      <c r="B16">
        <v>1</v>
      </c>
      <c r="C16">
        <v>5503</v>
      </c>
      <c r="D16">
        <v>0</v>
      </c>
      <c r="E16">
        <v>0</v>
      </c>
      <c r="F16">
        <v>3.0120481927710845E-3</v>
      </c>
      <c r="G16">
        <v>1.5060240963855422E-3</v>
      </c>
      <c r="H16">
        <v>0</v>
      </c>
      <c r="I16">
        <v>0</v>
      </c>
      <c r="J16">
        <v>0</v>
      </c>
      <c r="K16">
        <v>0</v>
      </c>
      <c r="L16">
        <v>5.923694779116466E-2</v>
      </c>
      <c r="M16">
        <v>4.0160642570281121E-3</v>
      </c>
    </row>
    <row r="17" spans="1:13" x14ac:dyDescent="0.2">
      <c r="A17" t="s">
        <v>44</v>
      </c>
      <c r="B17">
        <v>2</v>
      </c>
      <c r="C17">
        <v>10152</v>
      </c>
      <c r="D17">
        <v>4.0000000000000001E-3</v>
      </c>
      <c r="E17">
        <v>8.9806915132465196E-4</v>
      </c>
      <c r="F17">
        <v>6.7355186349348896E-3</v>
      </c>
      <c r="G17">
        <v>1.7961383026493039E-3</v>
      </c>
      <c r="H17">
        <v>0</v>
      </c>
      <c r="I17">
        <v>0</v>
      </c>
      <c r="J17">
        <v>8.9806915132465196E-4</v>
      </c>
      <c r="K17">
        <v>0</v>
      </c>
      <c r="L17">
        <v>6.3313875168387962E-2</v>
      </c>
      <c r="M17">
        <v>1.1225864391558151E-2</v>
      </c>
    </row>
    <row r="18" spans="1:13" x14ac:dyDescent="0.2">
      <c r="A18" t="s">
        <v>45</v>
      </c>
      <c r="B18">
        <v>1</v>
      </c>
      <c r="C18">
        <v>5667</v>
      </c>
      <c r="D18">
        <v>2E-3</v>
      </c>
      <c r="E18">
        <v>3.8328861632809508E-4</v>
      </c>
      <c r="F18">
        <v>6.1326178612495213E-3</v>
      </c>
      <c r="G18">
        <v>2.6830203142966655E-3</v>
      </c>
      <c r="H18">
        <v>3.8328861632809508E-4</v>
      </c>
      <c r="I18">
        <v>0</v>
      </c>
      <c r="J18">
        <v>6.1326178612495213E-3</v>
      </c>
      <c r="K18">
        <v>3.8328861632809508E-4</v>
      </c>
      <c r="L18">
        <v>7.2441548486009963E-2</v>
      </c>
      <c r="M18">
        <v>1.3031812955155231E-2</v>
      </c>
    </row>
    <row r="19" spans="1:13" x14ac:dyDescent="0.2">
      <c r="A19" t="s">
        <v>46</v>
      </c>
      <c r="B19">
        <v>6</v>
      </c>
      <c r="C19">
        <v>1654</v>
      </c>
      <c r="D19">
        <v>1E-3</v>
      </c>
      <c r="E19">
        <v>6.4635272391505077E-3</v>
      </c>
      <c r="F19">
        <v>1.662049861495845E-2</v>
      </c>
      <c r="G19">
        <v>0</v>
      </c>
      <c r="H19">
        <v>0</v>
      </c>
      <c r="I19">
        <v>5.5401662049861496E-3</v>
      </c>
      <c r="J19">
        <v>6.2326869806094184E-2</v>
      </c>
      <c r="K19">
        <v>0</v>
      </c>
      <c r="L19">
        <v>0.14312096029547552</v>
      </c>
      <c r="M19">
        <v>3.5549399815327794E-2</v>
      </c>
    </row>
    <row r="20" spans="1:13" x14ac:dyDescent="0.2">
      <c r="A20" t="s">
        <v>47</v>
      </c>
      <c r="B20">
        <v>4</v>
      </c>
      <c r="C20">
        <v>3093</v>
      </c>
      <c r="D20">
        <v>1E-3</v>
      </c>
      <c r="E20">
        <v>2.7692307692307693E-2</v>
      </c>
      <c r="F20">
        <v>1.8974358974358976E-2</v>
      </c>
      <c r="G20">
        <v>0</v>
      </c>
      <c r="H20">
        <v>0</v>
      </c>
      <c r="I20">
        <v>6.1538461538461538E-3</v>
      </c>
      <c r="J20">
        <v>0.10666666666666667</v>
      </c>
      <c r="K20">
        <v>5.1282051282051282E-4</v>
      </c>
      <c r="L20">
        <v>0.14410256410256411</v>
      </c>
      <c r="M20">
        <v>3.0769230769230771E-2</v>
      </c>
    </row>
    <row r="21" spans="1:13" x14ac:dyDescent="0.2">
      <c r="A21" t="s">
        <v>48</v>
      </c>
      <c r="B21">
        <v>2</v>
      </c>
      <c r="C21">
        <v>9702</v>
      </c>
      <c r="D21">
        <v>0</v>
      </c>
      <c r="E21">
        <v>9.7022767075306479E-2</v>
      </c>
      <c r="F21">
        <v>2.1015761821366025E-2</v>
      </c>
      <c r="G21">
        <v>7.0052539404553418E-4</v>
      </c>
      <c r="H21">
        <v>3.5026269702276709E-4</v>
      </c>
      <c r="I21">
        <v>1.0157618213660246E-2</v>
      </c>
      <c r="J21">
        <v>6.5849387040280205E-2</v>
      </c>
      <c r="K21">
        <v>7.0052539404553418E-4</v>
      </c>
      <c r="L21">
        <v>0.19264448336252188</v>
      </c>
      <c r="M21">
        <v>2.1015761821366025E-2</v>
      </c>
    </row>
    <row r="22" spans="1:13" x14ac:dyDescent="0.2">
      <c r="A22" t="s">
        <v>49</v>
      </c>
      <c r="B22">
        <v>3</v>
      </c>
      <c r="C22">
        <v>13058</v>
      </c>
      <c r="D22">
        <v>0</v>
      </c>
      <c r="E22">
        <v>9.1226321036889338E-2</v>
      </c>
      <c r="F22">
        <v>1.8444666001994018E-2</v>
      </c>
      <c r="G22">
        <v>7.4775672981056834E-4</v>
      </c>
      <c r="H22">
        <v>0</v>
      </c>
      <c r="I22">
        <v>1.2213359920239282E-2</v>
      </c>
      <c r="J22">
        <v>3.7387836490528417E-2</v>
      </c>
      <c r="K22">
        <v>4.9850448654037887E-3</v>
      </c>
      <c r="L22">
        <v>0.2238285144566301</v>
      </c>
      <c r="M22">
        <v>1.4456630109670987E-2</v>
      </c>
    </row>
    <row r="23" spans="1:13" x14ac:dyDescent="0.2">
      <c r="A23" t="s">
        <v>50</v>
      </c>
      <c r="B23">
        <v>6</v>
      </c>
      <c r="C23">
        <v>15899</v>
      </c>
      <c r="D23">
        <v>1E-3</v>
      </c>
      <c r="E23">
        <v>0.15688161693936478</v>
      </c>
      <c r="F23">
        <v>1.2787020486731748E-2</v>
      </c>
      <c r="G23">
        <v>1.237453595490169E-3</v>
      </c>
      <c r="H23">
        <v>1.7874329712635776E-3</v>
      </c>
      <c r="I23">
        <v>7.0122370411109585E-3</v>
      </c>
      <c r="J23">
        <v>1.4986937989825382E-2</v>
      </c>
      <c r="K23">
        <v>6.5997525092809017E-3</v>
      </c>
      <c r="L23">
        <v>8.6209267152481783E-2</v>
      </c>
      <c r="M23">
        <v>6.0497731335074937E-3</v>
      </c>
    </row>
    <row r="24" spans="1:13" x14ac:dyDescent="0.2">
      <c r="A24" t="s">
        <v>51</v>
      </c>
      <c r="B24">
        <v>5</v>
      </c>
      <c r="C24">
        <v>19892</v>
      </c>
      <c r="D24">
        <v>4.0000000000000001E-3</v>
      </c>
      <c r="E24">
        <v>0.17016376663254862</v>
      </c>
      <c r="F24">
        <v>8.5721596724667344E-3</v>
      </c>
      <c r="G24">
        <v>1.4073694984646878E-3</v>
      </c>
      <c r="H24">
        <v>0</v>
      </c>
      <c r="I24">
        <v>7.6765609007164786E-3</v>
      </c>
      <c r="J24">
        <v>9.8515864892528143E-3</v>
      </c>
      <c r="K24">
        <v>3.7103377686796314E-3</v>
      </c>
      <c r="L24">
        <v>6.6018423746161722E-2</v>
      </c>
      <c r="M24">
        <v>8.1883316274309111E-3</v>
      </c>
    </row>
    <row r="25" spans="1:13" x14ac:dyDescent="0.2">
      <c r="A25" t="s">
        <v>52</v>
      </c>
      <c r="B25">
        <v>1</v>
      </c>
      <c r="C25">
        <v>22346</v>
      </c>
      <c r="D25">
        <v>2.5000000000000001E-2</v>
      </c>
      <c r="E25">
        <v>0.17090663058186739</v>
      </c>
      <c r="F25">
        <v>1.3937753721244926E-2</v>
      </c>
      <c r="G25">
        <v>5.4127198917456026E-3</v>
      </c>
      <c r="H25">
        <v>1.3531799729364006E-4</v>
      </c>
      <c r="I25">
        <v>4.3301759133964821E-3</v>
      </c>
      <c r="J25">
        <v>1.3802435723951286E-2</v>
      </c>
      <c r="K25">
        <v>4.6008119079837618E-3</v>
      </c>
      <c r="L25">
        <v>5.5074424898511505E-2</v>
      </c>
      <c r="M25">
        <v>1.4884979702300407E-2</v>
      </c>
    </row>
    <row r="26" spans="1:13" x14ac:dyDescent="0.2">
      <c r="A26" t="s">
        <v>53</v>
      </c>
      <c r="B26">
        <v>1</v>
      </c>
      <c r="C26">
        <v>73785</v>
      </c>
      <c r="D26">
        <v>4.8000000000000001E-2</v>
      </c>
      <c r="E26">
        <v>9.8963954241312324E-2</v>
      </c>
      <c r="F26">
        <v>1.0900064752859918E-2</v>
      </c>
      <c r="G26">
        <v>1.2626807684006043E-2</v>
      </c>
      <c r="H26">
        <v>0</v>
      </c>
      <c r="I26">
        <v>2.9138786963090872E-3</v>
      </c>
      <c r="J26">
        <v>6.5832074249946035E-3</v>
      </c>
      <c r="K26">
        <v>2.8059572631124541E-3</v>
      </c>
      <c r="L26">
        <v>3.1620979926613425E-2</v>
      </c>
      <c r="M26">
        <v>1.2410964817612778E-2</v>
      </c>
    </row>
    <row r="27" spans="1:13" x14ac:dyDescent="0.2">
      <c r="A27" t="s">
        <v>54</v>
      </c>
      <c r="B27">
        <v>0</v>
      </c>
      <c r="C27">
        <v>7200</v>
      </c>
      <c r="D27">
        <v>2.1999999999999999E-2</v>
      </c>
      <c r="E27">
        <v>3.1949374903534493E-2</v>
      </c>
      <c r="F27">
        <v>1.219323969748418E-2</v>
      </c>
      <c r="G27">
        <v>1.9138755980861243E-2</v>
      </c>
      <c r="H27">
        <v>0</v>
      </c>
      <c r="I27">
        <v>1.697792869269949E-3</v>
      </c>
      <c r="J27">
        <v>3.3955857385398981E-3</v>
      </c>
      <c r="K27">
        <v>1.389103256675413E-3</v>
      </c>
      <c r="L27">
        <v>3.1949374903534493E-2</v>
      </c>
      <c r="M27">
        <v>7.5628955085661372E-3</v>
      </c>
    </row>
    <row r="28" spans="1:13" x14ac:dyDescent="0.2">
      <c r="A28" t="s">
        <v>55</v>
      </c>
      <c r="B28">
        <v>6</v>
      </c>
      <c r="C28">
        <v>1952</v>
      </c>
      <c r="D28">
        <v>0.06</v>
      </c>
      <c r="E28">
        <v>3.0401529636711281E-2</v>
      </c>
      <c r="F28">
        <v>9.7514340344168268E-3</v>
      </c>
      <c r="G28">
        <v>2.6959847036328873E-2</v>
      </c>
      <c r="H28">
        <v>0</v>
      </c>
      <c r="I28">
        <v>7.6481835564053537E-4</v>
      </c>
      <c r="J28">
        <v>1.3384321223709368E-3</v>
      </c>
      <c r="K28">
        <v>3.0592734225621415E-3</v>
      </c>
      <c r="L28">
        <v>4.8565965583173998E-2</v>
      </c>
      <c r="M28">
        <v>1.24282982791587E-2</v>
      </c>
    </row>
    <row r="29" spans="1:13" x14ac:dyDescent="0.2">
      <c r="A29" t="s">
        <v>56</v>
      </c>
      <c r="B29">
        <v>12</v>
      </c>
      <c r="C29">
        <v>2537</v>
      </c>
      <c r="D29">
        <v>0.154</v>
      </c>
      <c r="E29">
        <v>1.7570664629488159E-2</v>
      </c>
      <c r="F29">
        <v>9.3582887700534752E-3</v>
      </c>
      <c r="G29">
        <v>2.5401069518716578E-2</v>
      </c>
      <c r="H29">
        <v>1.9098548510313216E-4</v>
      </c>
      <c r="I29">
        <v>5.7295645530939653E-4</v>
      </c>
      <c r="J29">
        <v>3.8197097020626434E-3</v>
      </c>
      <c r="K29">
        <v>5.7295645530939653E-4</v>
      </c>
      <c r="L29">
        <v>3.7051184110007643E-2</v>
      </c>
      <c r="M29">
        <v>1.4705882352941176E-2</v>
      </c>
    </row>
    <row r="30" spans="1:13" x14ac:dyDescent="0.2">
      <c r="A30" t="s">
        <v>57</v>
      </c>
      <c r="B30">
        <v>8</v>
      </c>
      <c r="C30">
        <v>6504</v>
      </c>
      <c r="D30">
        <v>0.14699999999999999</v>
      </c>
      <c r="E30">
        <v>1.9455252918287938E-2</v>
      </c>
      <c r="F30">
        <v>9.4941634241245132E-3</v>
      </c>
      <c r="G30">
        <v>1.8521400778210118E-2</v>
      </c>
      <c r="H30">
        <v>4.6692607003891048E-4</v>
      </c>
      <c r="I30">
        <v>3.1128404669260703E-4</v>
      </c>
      <c r="J30">
        <v>1.7898832684824902E-2</v>
      </c>
      <c r="K30">
        <v>2.4902723735408562E-3</v>
      </c>
      <c r="L30">
        <v>3.6887159533073928E-2</v>
      </c>
      <c r="M30">
        <v>1.4630350194552529E-2</v>
      </c>
    </row>
    <row r="31" spans="1:13" x14ac:dyDescent="0.2">
      <c r="A31" t="s">
        <v>58</v>
      </c>
      <c r="B31">
        <v>5</v>
      </c>
      <c r="C31">
        <v>6523</v>
      </c>
      <c r="D31">
        <v>0.05</v>
      </c>
      <c r="E31">
        <v>1.7037302725968435E-2</v>
      </c>
      <c r="F31">
        <v>1.129842180774749E-2</v>
      </c>
      <c r="G31">
        <v>8.2496413199426109E-3</v>
      </c>
      <c r="H31">
        <v>8.9670014347202295E-4</v>
      </c>
      <c r="I31">
        <v>5.3802008608321375E-4</v>
      </c>
      <c r="J31">
        <v>2.9949784791965566E-2</v>
      </c>
      <c r="K31">
        <v>4.1248206599713054E-3</v>
      </c>
      <c r="L31">
        <v>3.9454806312769007E-2</v>
      </c>
      <c r="M31">
        <v>1.3091822094691535E-2</v>
      </c>
    </row>
    <row r="32" spans="1:13" x14ac:dyDescent="0.2">
      <c r="A32" t="s">
        <v>59</v>
      </c>
      <c r="B32">
        <v>3</v>
      </c>
      <c r="C32">
        <v>6351</v>
      </c>
      <c r="D32">
        <v>4.0000000000000001E-3</v>
      </c>
      <c r="E32">
        <v>1.532567049808429E-2</v>
      </c>
      <c r="F32">
        <v>1.0592742844264142E-2</v>
      </c>
      <c r="G32">
        <v>2.4791525805724587E-3</v>
      </c>
      <c r="H32">
        <v>2.2537750732476899E-4</v>
      </c>
      <c r="I32">
        <v>6.7613252197430695E-4</v>
      </c>
      <c r="J32">
        <v>9.2404778003155278E-3</v>
      </c>
      <c r="K32">
        <v>2.9299075952219969E-3</v>
      </c>
      <c r="L32">
        <v>3.1327473518142891E-2</v>
      </c>
      <c r="M32">
        <v>2.9299075952219969E-3</v>
      </c>
    </row>
    <row r="33" spans="1:13" x14ac:dyDescent="0.2">
      <c r="A33" t="s">
        <v>60</v>
      </c>
      <c r="B33">
        <v>3</v>
      </c>
      <c r="C33">
        <v>4578</v>
      </c>
      <c r="D33">
        <v>3.0000000000000001E-3</v>
      </c>
      <c r="E33">
        <v>2.3993808049535603E-2</v>
      </c>
      <c r="F33">
        <v>7.9979360165118672E-3</v>
      </c>
      <c r="G33">
        <v>2.5799793601651185E-4</v>
      </c>
      <c r="H33">
        <v>5.1599587203302369E-4</v>
      </c>
      <c r="I33">
        <v>5.1599587203302369E-4</v>
      </c>
      <c r="J33">
        <v>3.3539731682146541E-3</v>
      </c>
      <c r="K33">
        <v>2.0639834881320948E-3</v>
      </c>
      <c r="L33">
        <v>4.6697626418988648E-2</v>
      </c>
      <c r="M33">
        <v>7.7399380804953565E-4</v>
      </c>
    </row>
    <row r="34" spans="1:13" x14ac:dyDescent="0.2">
      <c r="A34" t="s">
        <v>61</v>
      </c>
      <c r="B34">
        <v>5</v>
      </c>
      <c r="C34">
        <v>2066</v>
      </c>
      <c r="D34">
        <v>3.0000000000000001E-3</v>
      </c>
      <c r="E34">
        <v>2.7948463825569873E-2</v>
      </c>
      <c r="F34">
        <v>1.1298315163528246E-2</v>
      </c>
      <c r="G34">
        <v>1.1892963330029733E-3</v>
      </c>
      <c r="H34">
        <v>1.7839444995044599E-3</v>
      </c>
      <c r="I34">
        <v>3.9643211100099106E-4</v>
      </c>
      <c r="J34">
        <v>1.1892963330029733E-3</v>
      </c>
      <c r="K34">
        <v>7.1357779980178396E-3</v>
      </c>
      <c r="L34">
        <v>0.13042616451932607</v>
      </c>
      <c r="M34">
        <v>1.1892963330029733E-3</v>
      </c>
    </row>
    <row r="35" spans="1:13" x14ac:dyDescent="0.2">
      <c r="A35" t="s">
        <v>62</v>
      </c>
      <c r="B35">
        <v>5</v>
      </c>
      <c r="C35">
        <v>2201</v>
      </c>
      <c r="D35">
        <v>7.0000000000000001E-3</v>
      </c>
      <c r="E35">
        <v>9.8247809762202751E-2</v>
      </c>
      <c r="F35">
        <v>1.6699410609037329E-2</v>
      </c>
      <c r="G35">
        <v>6.1394891944990175E-4</v>
      </c>
      <c r="H35">
        <v>6.7534381139489194E-3</v>
      </c>
      <c r="I35">
        <v>4.1748526522593322E-3</v>
      </c>
      <c r="J35">
        <v>4.911591355599214E-3</v>
      </c>
      <c r="K35">
        <v>1.4611984282907662E-2</v>
      </c>
      <c r="L35">
        <v>0.12340373280943026</v>
      </c>
      <c r="M35">
        <v>2.455795677799607E-3</v>
      </c>
    </row>
    <row r="36" spans="1:13" x14ac:dyDescent="0.2">
      <c r="A36" t="s">
        <v>63</v>
      </c>
      <c r="B36">
        <v>11</v>
      </c>
      <c r="C36">
        <v>3856</v>
      </c>
      <c r="D36">
        <v>0.108</v>
      </c>
      <c r="E36">
        <v>0.20489520738678002</v>
      </c>
      <c r="F36">
        <v>1.5395718065912918E-2</v>
      </c>
      <c r="G36">
        <v>2.0848368214257075E-3</v>
      </c>
      <c r="H36">
        <v>1.2589206960147542E-2</v>
      </c>
      <c r="I36">
        <v>2.004650789832411E-3</v>
      </c>
      <c r="J36">
        <v>3.367813326918451E-3</v>
      </c>
      <c r="K36">
        <v>1.2669392991740839E-2</v>
      </c>
      <c r="L36">
        <v>8.6761286183946754E-2</v>
      </c>
      <c r="M36">
        <v>3.2074412637318581E-3</v>
      </c>
    </row>
    <row r="37" spans="1:13" x14ac:dyDescent="0.2">
      <c r="A37" t="s">
        <v>64</v>
      </c>
      <c r="B37">
        <v>18</v>
      </c>
      <c r="C37">
        <v>2723</v>
      </c>
      <c r="D37">
        <v>0.218</v>
      </c>
      <c r="E37">
        <v>0.12490183479688727</v>
      </c>
      <c r="F37">
        <v>1.0268188880632304E-2</v>
      </c>
      <c r="G37">
        <v>4.8638789434574071E-3</v>
      </c>
      <c r="H37">
        <v>8.7820036479092072E-3</v>
      </c>
      <c r="I37">
        <v>8.7820036479092077E-4</v>
      </c>
      <c r="J37">
        <v>3.9856785786664866E-3</v>
      </c>
      <c r="K37">
        <v>5.7420793082483277E-3</v>
      </c>
      <c r="L37">
        <v>4.5328649598054452E-2</v>
      </c>
      <c r="M37">
        <v>1.4321421333513476E-2</v>
      </c>
    </row>
    <row r="38" spans="1:13" x14ac:dyDescent="0.2">
      <c r="A38" t="s">
        <v>65</v>
      </c>
      <c r="B38">
        <v>9</v>
      </c>
      <c r="C38">
        <v>1462</v>
      </c>
      <c r="D38">
        <v>0.129</v>
      </c>
      <c r="E38">
        <v>7.3803085732463816E-2</v>
      </c>
      <c r="F38">
        <v>1.4540713999197754E-2</v>
      </c>
      <c r="G38">
        <v>1.3337344564781388E-2</v>
      </c>
      <c r="H38">
        <v>6.1171279582831932E-3</v>
      </c>
      <c r="I38">
        <v>1.0028078620136383E-3</v>
      </c>
      <c r="J38">
        <v>7.7216205375050138E-3</v>
      </c>
      <c r="K38">
        <v>2.8078620136381869E-3</v>
      </c>
      <c r="L38">
        <v>5.0742077817890092E-2</v>
      </c>
      <c r="M38">
        <v>2.7777777777777776E-2</v>
      </c>
    </row>
    <row r="39" spans="1:13" x14ac:dyDescent="0.2">
      <c r="A39" t="s">
        <v>66</v>
      </c>
      <c r="B39">
        <v>14</v>
      </c>
      <c r="C39">
        <v>1618</v>
      </c>
      <c r="D39">
        <v>2.3E-2</v>
      </c>
      <c r="E39">
        <v>3.5701809543771397E-2</v>
      </c>
      <c r="F39">
        <v>2.0023252809714506E-2</v>
      </c>
      <c r="G39">
        <v>2.622400206691642E-2</v>
      </c>
      <c r="H39">
        <v>4.5213796667097272E-3</v>
      </c>
      <c r="I39">
        <v>1.291822761917065E-3</v>
      </c>
      <c r="J39">
        <v>1.5243508590621367E-2</v>
      </c>
      <c r="K39">
        <v>1.550187314300478E-3</v>
      </c>
      <c r="L39">
        <v>8.3322568143650688E-2</v>
      </c>
      <c r="M39">
        <v>4.2759333419454849E-2</v>
      </c>
    </row>
    <row r="40" spans="1:13" x14ac:dyDescent="0.2">
      <c r="A40" t="s">
        <v>67</v>
      </c>
      <c r="B40">
        <v>5</v>
      </c>
      <c r="C40">
        <v>1135</v>
      </c>
      <c r="D40">
        <v>1.2E-2</v>
      </c>
      <c r="E40">
        <v>1.5752271962302253E-2</v>
      </c>
      <c r="F40">
        <v>2.5987896048415806E-2</v>
      </c>
      <c r="G40">
        <v>6.7639729441082236E-2</v>
      </c>
      <c r="H40">
        <v>5.5773110240892373E-3</v>
      </c>
      <c r="I40">
        <v>5.2213124480835413E-3</v>
      </c>
      <c r="J40">
        <v>3.2870535184525929E-2</v>
      </c>
      <c r="K40">
        <v>1.423994304022784E-3</v>
      </c>
      <c r="L40">
        <v>7.9031683873264508E-2</v>
      </c>
      <c r="M40">
        <v>5.3874451168861991E-2</v>
      </c>
    </row>
    <row r="41" spans="1:13" x14ac:dyDescent="0.2">
      <c r="A41" t="s">
        <v>68</v>
      </c>
      <c r="B41">
        <v>9</v>
      </c>
      <c r="C41">
        <v>734</v>
      </c>
      <c r="D41">
        <v>1.6E-2</v>
      </c>
      <c r="E41">
        <v>7.8479246599232645E-3</v>
      </c>
      <c r="F41">
        <v>2.894114373173786E-2</v>
      </c>
      <c r="G41">
        <v>7.1518018644775291E-2</v>
      </c>
      <c r="H41">
        <v>8.7658271879782947E-3</v>
      </c>
      <c r="I41">
        <v>9.1832475302629744E-3</v>
      </c>
      <c r="J41">
        <v>3.9794072631139557E-2</v>
      </c>
      <c r="K41">
        <v>6.9570057047446774E-4</v>
      </c>
      <c r="L41">
        <v>0.10602476694030889</v>
      </c>
      <c r="M41">
        <v>2.8384583275358286E-2</v>
      </c>
    </row>
    <row r="42" spans="1:13" x14ac:dyDescent="0.2">
      <c r="A42" t="s">
        <v>69</v>
      </c>
      <c r="B42">
        <v>6</v>
      </c>
      <c r="C42">
        <v>346</v>
      </c>
      <c r="D42">
        <v>1.7000000000000001E-2</v>
      </c>
      <c r="E42">
        <v>3.3703657470977406E-3</v>
      </c>
      <c r="F42">
        <v>3.416264389157074E-2</v>
      </c>
      <c r="G42">
        <v>3.8989974006683997E-2</v>
      </c>
      <c r="H42">
        <v>7.4266617155588563E-3</v>
      </c>
      <c r="I42">
        <v>1.2439658373561084E-2</v>
      </c>
      <c r="J42">
        <v>4.5302636464909021E-2</v>
      </c>
      <c r="K42">
        <v>1.2996658002227999E-3</v>
      </c>
      <c r="L42">
        <v>0.16078722614184923</v>
      </c>
      <c r="M42">
        <v>1.708132194578537E-2</v>
      </c>
    </row>
    <row r="43" spans="1:13" x14ac:dyDescent="0.2">
      <c r="A43" t="s">
        <v>70</v>
      </c>
      <c r="B43">
        <v>4</v>
      </c>
      <c r="C43">
        <v>166</v>
      </c>
      <c r="D43">
        <v>0.01</v>
      </c>
      <c r="E43">
        <v>2.2557695644629533E-3</v>
      </c>
      <c r="F43">
        <v>4.7350343473994111E-2</v>
      </c>
      <c r="G43">
        <v>6.8694798822374874E-3</v>
      </c>
      <c r="H43">
        <v>6.1334641805691854E-3</v>
      </c>
      <c r="I43">
        <v>1.8155053974484789E-2</v>
      </c>
      <c r="J43">
        <v>2.0117762512266928E-2</v>
      </c>
      <c r="K43">
        <v>2.944062806673209E-3</v>
      </c>
      <c r="L43">
        <v>0.15848871442590776</v>
      </c>
      <c r="M43">
        <v>6.8694798822374874E-3</v>
      </c>
    </row>
    <row r="44" spans="1:13" x14ac:dyDescent="0.2">
      <c r="A44" t="s">
        <v>71</v>
      </c>
      <c r="B44">
        <v>2</v>
      </c>
      <c r="C44">
        <v>286</v>
      </c>
      <c r="D44">
        <v>0.01</v>
      </c>
      <c r="E44">
        <v>2.8735632183908046E-3</v>
      </c>
      <c r="F44">
        <v>4.4794562866852024E-2</v>
      </c>
      <c r="G44">
        <v>3.7071362372567192E-3</v>
      </c>
      <c r="H44">
        <v>3.0892801977139327E-3</v>
      </c>
      <c r="I44">
        <v>1.1430336731541551E-2</v>
      </c>
      <c r="J44">
        <v>1.050355267222737E-2</v>
      </c>
      <c r="K44">
        <v>3.0892801977139327E-4</v>
      </c>
      <c r="L44">
        <v>0.11893728761198641</v>
      </c>
      <c r="M44">
        <v>4.3249922767995058E-3</v>
      </c>
    </row>
    <row r="45" spans="1:13" x14ac:dyDescent="0.2">
      <c r="A45" t="s">
        <v>72</v>
      </c>
      <c r="B45">
        <v>3</v>
      </c>
      <c r="C45">
        <v>1119</v>
      </c>
      <c r="D45">
        <v>7.0000000000000001E-3</v>
      </c>
      <c r="E45">
        <v>5.4988216810683424E-3</v>
      </c>
      <c r="F45">
        <v>3.8661281015579918E-2</v>
      </c>
      <c r="G45">
        <v>2.3081361800346219E-3</v>
      </c>
      <c r="H45">
        <v>4.0392383150605884E-3</v>
      </c>
      <c r="I45">
        <v>6.9244085401038661E-3</v>
      </c>
      <c r="J45">
        <v>3.462204270051933E-3</v>
      </c>
      <c r="K45">
        <v>2.8851702250432774E-4</v>
      </c>
      <c r="L45">
        <v>0.10415464512406232</v>
      </c>
      <c r="M45">
        <v>6.0588574725908831E-3</v>
      </c>
    </row>
    <row r="46" spans="1:13" x14ac:dyDescent="0.2">
      <c r="A46" t="s">
        <v>73</v>
      </c>
      <c r="B46">
        <v>4</v>
      </c>
      <c r="C46">
        <v>1282</v>
      </c>
      <c r="D46">
        <v>6.0000000000000001E-3</v>
      </c>
      <c r="E46">
        <v>4.212004212004212E-3</v>
      </c>
      <c r="F46">
        <v>1.7913789886172794E-2</v>
      </c>
      <c r="G46">
        <v>3.7320395596193321E-4</v>
      </c>
      <c r="H46">
        <v>5.9712632953909314E-3</v>
      </c>
      <c r="I46">
        <v>2.6124276917335325E-3</v>
      </c>
      <c r="J46">
        <v>2.2392237357715993E-3</v>
      </c>
      <c r="K46">
        <v>2.2392237357715993E-3</v>
      </c>
      <c r="L46">
        <v>0.18734838589289046</v>
      </c>
      <c r="M46">
        <v>1.6794178018286995E-3</v>
      </c>
    </row>
    <row r="47" spans="1:13" x14ac:dyDescent="0.2">
      <c r="A47" t="s">
        <v>74</v>
      </c>
      <c r="B47">
        <v>5</v>
      </c>
      <c r="C47">
        <v>1877</v>
      </c>
      <c r="D47">
        <v>1.6E-2</v>
      </c>
      <c r="E47">
        <v>1.3064640081974213E-2</v>
      </c>
      <c r="F47">
        <v>1.6401590457256462E-2</v>
      </c>
      <c r="G47">
        <v>7.4552683896620276E-4</v>
      </c>
      <c r="H47">
        <v>1.0934393638170975E-2</v>
      </c>
      <c r="I47">
        <v>7.8280318091451286E-3</v>
      </c>
      <c r="J47">
        <v>8.6978131212723663E-4</v>
      </c>
      <c r="K47">
        <v>2.3608349900596419E-3</v>
      </c>
      <c r="L47">
        <v>0.12910039761431411</v>
      </c>
      <c r="M47">
        <v>4.1003976143141156E-3</v>
      </c>
    </row>
    <row r="48" spans="1:13" x14ac:dyDescent="0.2">
      <c r="A48" t="s">
        <v>75</v>
      </c>
      <c r="B48">
        <v>3</v>
      </c>
      <c r="C48">
        <v>2475</v>
      </c>
      <c r="D48">
        <v>6.8000000000000005E-2</v>
      </c>
      <c r="E48">
        <v>3.7003981875600715E-2</v>
      </c>
      <c r="F48">
        <v>1.5434782608695652E-2</v>
      </c>
      <c r="G48">
        <v>1.9565217391304349E-3</v>
      </c>
      <c r="H48">
        <v>1.2065217391304348E-2</v>
      </c>
      <c r="I48">
        <v>5.7608695652173912E-3</v>
      </c>
      <c r="J48">
        <v>8.6956521739130438E-4</v>
      </c>
      <c r="K48">
        <v>3.0434782608695652E-3</v>
      </c>
      <c r="L48">
        <v>0.10967391304347826</v>
      </c>
      <c r="M48">
        <v>5.2173913043478265E-3</v>
      </c>
    </row>
    <row r="49" spans="1:13" x14ac:dyDescent="0.2">
      <c r="A49" t="s">
        <v>76</v>
      </c>
      <c r="B49">
        <v>10</v>
      </c>
      <c r="C49">
        <v>2281</v>
      </c>
      <c r="D49">
        <v>0.16200000000000001</v>
      </c>
      <c r="E49">
        <v>0.11277866822089465</v>
      </c>
      <c r="F49">
        <v>1.3699817913812537E-2</v>
      </c>
      <c r="G49">
        <v>2.6879389577733458E-3</v>
      </c>
      <c r="H49">
        <v>5.9828318737535765E-3</v>
      </c>
      <c r="I49">
        <v>3.2081852076649613E-3</v>
      </c>
      <c r="J49">
        <v>1.2139079164137693E-3</v>
      </c>
      <c r="K49">
        <v>4.7689239573398077E-3</v>
      </c>
      <c r="L49">
        <v>6.1822596028786959E-2</v>
      </c>
      <c r="M49">
        <v>1.2052371455822422E-2</v>
      </c>
    </row>
    <row r="50" spans="1:13" x14ac:dyDescent="0.2">
      <c r="A50" t="s">
        <v>77</v>
      </c>
      <c r="B50">
        <v>7</v>
      </c>
      <c r="C50">
        <v>1692</v>
      </c>
      <c r="D50">
        <v>0.183</v>
      </c>
      <c r="E50">
        <v>0.11638677285318559</v>
      </c>
      <c r="F50">
        <v>1.0483354673495518E-2</v>
      </c>
      <c r="G50">
        <v>4.8815620998719587E-3</v>
      </c>
      <c r="H50">
        <v>3.7612035851472469E-3</v>
      </c>
      <c r="I50">
        <v>1.2003841229193341E-3</v>
      </c>
      <c r="J50">
        <v>1.3604353393085787E-3</v>
      </c>
      <c r="K50">
        <v>2.8809218950064022E-3</v>
      </c>
      <c r="L50">
        <v>4.7295134443021768E-2</v>
      </c>
      <c r="M50">
        <v>2.1286811779769526E-2</v>
      </c>
    </row>
    <row r="51" spans="1:13" x14ac:dyDescent="0.2">
      <c r="A51" t="s">
        <v>78</v>
      </c>
      <c r="B51">
        <v>9</v>
      </c>
      <c r="C51">
        <v>1271</v>
      </c>
      <c r="D51">
        <v>0.14799999999999999</v>
      </c>
      <c r="E51">
        <v>9.0919055187154055E-2</v>
      </c>
      <c r="F51">
        <v>9.5070786400744036E-3</v>
      </c>
      <c r="G51">
        <v>6.2002686783093931E-3</v>
      </c>
      <c r="H51">
        <v>1.8600806034928181E-3</v>
      </c>
      <c r="I51">
        <v>2.066756226103131E-4</v>
      </c>
      <c r="J51">
        <v>2.1700940374082879E-3</v>
      </c>
      <c r="K51">
        <v>1.0333781130515657E-3</v>
      </c>
      <c r="L51">
        <v>5.9935930556990806E-2</v>
      </c>
      <c r="M51">
        <v>3.9888395163790433E-2</v>
      </c>
    </row>
    <row r="52" spans="1:13" x14ac:dyDescent="0.2">
      <c r="A52" t="s">
        <v>79</v>
      </c>
      <c r="B52">
        <v>4</v>
      </c>
      <c r="C52">
        <v>522</v>
      </c>
      <c r="D52">
        <v>0.104</v>
      </c>
      <c r="E52">
        <v>5.7434383623179104E-2</v>
      </c>
      <c r="F52">
        <v>1.2999570262140095E-2</v>
      </c>
      <c r="G52">
        <v>2.3420713364847443E-2</v>
      </c>
      <c r="H52">
        <v>1.826385904598195E-3</v>
      </c>
      <c r="I52">
        <v>7.5204125483455087E-4</v>
      </c>
      <c r="J52">
        <v>1.0206274172754619E-2</v>
      </c>
      <c r="K52">
        <v>1.7189514396218307E-3</v>
      </c>
      <c r="L52">
        <v>7.1766222604211435E-2</v>
      </c>
      <c r="M52">
        <v>5.2428018908465837E-2</v>
      </c>
    </row>
    <row r="53" spans="1:13" x14ac:dyDescent="0.2">
      <c r="A53" s="3">
        <v>45383</v>
      </c>
      <c r="B53">
        <v>2</v>
      </c>
      <c r="D53">
        <v>0.05</v>
      </c>
      <c r="E53">
        <v>2.5394113535761435E-2</v>
      </c>
      <c r="F53">
        <v>1.8184022305734029E-2</v>
      </c>
      <c r="G53">
        <v>5.0430355194569038E-2</v>
      </c>
      <c r="H53">
        <v>1.8184022305734028E-3</v>
      </c>
      <c r="I53">
        <v>6.0613407685780097E-4</v>
      </c>
      <c r="J53">
        <v>2.9700569766032248E-2</v>
      </c>
      <c r="K53">
        <v>4.0004849072614859E-3</v>
      </c>
      <c r="L53">
        <v>0.10874045338828948</v>
      </c>
      <c r="M53">
        <v>3.0912837919747849E-2</v>
      </c>
    </row>
    <row r="54" spans="1:13" x14ac:dyDescent="0.2">
      <c r="A54" s="3">
        <v>45413</v>
      </c>
      <c r="B54">
        <v>3</v>
      </c>
      <c r="D54">
        <v>2.8000000000000001E-2</v>
      </c>
      <c r="E54">
        <v>1.1657463406082917E-2</v>
      </c>
      <c r="F54">
        <v>1.7086444753828631E-2</v>
      </c>
      <c r="G54">
        <v>5.5309454499430449E-2</v>
      </c>
      <c r="H54">
        <v>3.1641564358941905E-3</v>
      </c>
      <c r="I54">
        <v>3.7969877230730289E-4</v>
      </c>
      <c r="J54">
        <v>6.2144032400961904E-2</v>
      </c>
      <c r="K54">
        <v>4.176686495380332E-3</v>
      </c>
      <c r="L54">
        <v>0.13479306416909251</v>
      </c>
      <c r="M54">
        <v>1.5187950892292116E-2</v>
      </c>
    </row>
    <row r="55" spans="1:13" x14ac:dyDescent="0.2">
      <c r="A55" s="3">
        <v>45444</v>
      </c>
      <c r="B55">
        <v>3</v>
      </c>
      <c r="D55">
        <v>1.4999999999999999E-2</v>
      </c>
      <c r="E55">
        <v>4.3874081386420976E-3</v>
      </c>
      <c r="F55">
        <v>2.1200841560122998E-2</v>
      </c>
      <c r="G55">
        <v>4.0135944327561096E-2</v>
      </c>
      <c r="H55">
        <v>2.9130927334520148E-3</v>
      </c>
      <c r="I55">
        <v>3.2367697038355721E-4</v>
      </c>
      <c r="J55">
        <v>5.9071047094999191E-2</v>
      </c>
      <c r="K55">
        <v>4.2078006149862436E-3</v>
      </c>
      <c r="L55">
        <v>0.1187894481307655</v>
      </c>
      <c r="M55">
        <v>9.7103091115067156E-3</v>
      </c>
    </row>
    <row r="56" spans="1:13" x14ac:dyDescent="0.2">
      <c r="A56" s="3">
        <v>45474</v>
      </c>
      <c r="B56">
        <v>4</v>
      </c>
      <c r="D56">
        <v>0.01</v>
      </c>
      <c r="E56">
        <v>2.1715526601520088E-3</v>
      </c>
      <c r="F56">
        <v>1.1686143572621035E-2</v>
      </c>
      <c r="G56">
        <v>7.7212020033388985E-3</v>
      </c>
      <c r="H56">
        <v>1.8781302170283807E-3</v>
      </c>
      <c r="I56">
        <v>8.3472454090150253E-4</v>
      </c>
      <c r="J56">
        <v>1.815525876460768E-2</v>
      </c>
      <c r="K56">
        <v>5.4257095158597663E-3</v>
      </c>
      <c r="L56">
        <v>7.6377295492487479E-2</v>
      </c>
      <c r="M56">
        <v>4.5909849749582636E-3</v>
      </c>
    </row>
    <row r="57" spans="1:13" x14ac:dyDescent="0.2">
      <c r="A57" s="3">
        <v>45505</v>
      </c>
      <c r="B57">
        <v>3</v>
      </c>
      <c r="D57">
        <v>4.0000000000000001E-3</v>
      </c>
      <c r="E57">
        <v>9.5831336847149022E-4</v>
      </c>
      <c r="F57">
        <v>1.3489208633093525E-2</v>
      </c>
      <c r="G57">
        <v>6.6321942446043169E-2</v>
      </c>
      <c r="H57">
        <v>2.0233812949640288E-3</v>
      </c>
      <c r="I57">
        <v>1.7985611510791368E-3</v>
      </c>
      <c r="J57">
        <v>2.0233812949640288E-3</v>
      </c>
      <c r="K57">
        <v>7.8687050359712227E-3</v>
      </c>
      <c r="L57">
        <v>9.8471223021582732E-2</v>
      </c>
      <c r="M57">
        <v>2.9226618705035972E-3</v>
      </c>
    </row>
    <row r="58" spans="1:13" x14ac:dyDescent="0.2">
      <c r="A58" s="3">
        <v>45536</v>
      </c>
      <c r="B58">
        <v>4</v>
      </c>
      <c r="D58">
        <v>4.0000000000000001E-3</v>
      </c>
      <c r="E58">
        <v>6.7613252197430695E-4</v>
      </c>
      <c r="F58">
        <v>1.1423699914748509E-2</v>
      </c>
      <c r="G58">
        <v>6.8201193520886613E-4</v>
      </c>
      <c r="H58">
        <v>2.8985507246376812E-3</v>
      </c>
      <c r="I58">
        <v>1.8755328218243818E-3</v>
      </c>
      <c r="J58">
        <v>1.7050298380221654E-3</v>
      </c>
      <c r="K58">
        <v>9.5481670929241265E-3</v>
      </c>
      <c r="L58">
        <v>0.18414322250639387</v>
      </c>
      <c r="M58">
        <v>3.7510656436487637E-3</v>
      </c>
    </row>
    <row r="59" spans="1:13" x14ac:dyDescent="0.2">
      <c r="A59" s="3">
        <v>45566</v>
      </c>
      <c r="B59">
        <v>6</v>
      </c>
      <c r="D59">
        <v>1.2999999999999999E-2</v>
      </c>
      <c r="E59">
        <v>2.5272161741835149E-3</v>
      </c>
      <c r="F59">
        <v>1.4705882352941176E-2</v>
      </c>
      <c r="G59">
        <v>1.758312020460358E-3</v>
      </c>
      <c r="H59">
        <v>7.8324808184143217E-3</v>
      </c>
      <c r="I59">
        <v>2.5575447570332483E-3</v>
      </c>
      <c r="J59">
        <v>1.9181585677749361E-3</v>
      </c>
      <c r="K59">
        <v>1.6144501278772379E-2</v>
      </c>
      <c r="L59">
        <v>0.17471227621483376</v>
      </c>
      <c r="M59">
        <v>3.6764705882352941E-3</v>
      </c>
    </row>
    <row r="60" spans="1:13" x14ac:dyDescent="0.2">
      <c r="A60" s="3">
        <v>45597</v>
      </c>
      <c r="B60">
        <v>2</v>
      </c>
      <c r="D60">
        <v>2.9000000000000001E-2</v>
      </c>
      <c r="E60">
        <v>1.2533875338753388E-2</v>
      </c>
      <c r="F60">
        <v>1.7851693622215441E-2</v>
      </c>
      <c r="G60">
        <v>2.4412572474824534E-3</v>
      </c>
      <c r="H60">
        <v>1.5715593530668294E-2</v>
      </c>
      <c r="I60">
        <v>1.5257857796765334E-3</v>
      </c>
      <c r="J60">
        <v>3.9670430271589868E-3</v>
      </c>
      <c r="K60">
        <v>2.0140372291730241E-2</v>
      </c>
      <c r="L60">
        <v>0.16081782117790663</v>
      </c>
      <c r="M60">
        <v>1.1748550503509307E-2</v>
      </c>
    </row>
    <row r="61" spans="1:13" x14ac:dyDescent="0.2">
      <c r="A61" s="3">
        <v>45627</v>
      </c>
      <c r="B61">
        <v>8</v>
      </c>
      <c r="D61">
        <v>7.9000000000000001E-2</v>
      </c>
      <c r="E61">
        <v>3.8314663951120161E-2</v>
      </c>
      <c r="F61">
        <v>1.4201815269620929E-2</v>
      </c>
      <c r="G61">
        <v>4.6983449012279769E-3</v>
      </c>
      <c r="H61">
        <v>1.398825413774693E-2</v>
      </c>
      <c r="I61">
        <v>1.8152696209289909E-3</v>
      </c>
      <c r="J61">
        <v>1.0678056593699946E-3</v>
      </c>
      <c r="K61">
        <v>1.6444207154297917E-2</v>
      </c>
      <c r="L61">
        <v>0.10966364121729845</v>
      </c>
      <c r="M61">
        <v>3.4276561665776827E-2</v>
      </c>
    </row>
    <row r="62" spans="1:13" x14ac:dyDescent="0.2">
      <c r="A62" s="3">
        <v>45658</v>
      </c>
      <c r="B62">
        <v>6</v>
      </c>
      <c r="D62">
        <v>0.193</v>
      </c>
      <c r="E62">
        <v>8.1889062151926928E-2</v>
      </c>
      <c r="F62">
        <v>1.0038281582305401E-2</v>
      </c>
      <c r="G62">
        <v>9.4427903019991492E-3</v>
      </c>
      <c r="H62">
        <v>6.2101233517652061E-3</v>
      </c>
      <c r="I62">
        <v>1.0208421948107189E-3</v>
      </c>
      <c r="J62">
        <v>3.1475967673330499E-3</v>
      </c>
      <c r="K62">
        <v>5.4444917056571673E-3</v>
      </c>
      <c r="L62">
        <v>5.7847724372607399E-2</v>
      </c>
      <c r="M62">
        <v>4.2535091450446622E-2</v>
      </c>
    </row>
    <row r="63" spans="1:13" x14ac:dyDescent="0.2">
      <c r="A63" s="3">
        <v>45689</v>
      </c>
      <c r="B63">
        <v>12</v>
      </c>
      <c r="D63">
        <v>0.223</v>
      </c>
      <c r="E63">
        <v>0.10701776074504471</v>
      </c>
      <c r="F63">
        <v>7.6738609112709834E-3</v>
      </c>
      <c r="G63">
        <v>1.5667466027178258E-2</v>
      </c>
      <c r="H63">
        <v>2.4780175859312548E-3</v>
      </c>
      <c r="I63">
        <v>4.7961630695443646E-4</v>
      </c>
      <c r="J63">
        <v>1.6786570743405275E-3</v>
      </c>
      <c r="K63">
        <v>1.9984012789768186E-3</v>
      </c>
      <c r="L63">
        <v>4.5163868904876101E-2</v>
      </c>
      <c r="M63">
        <v>3.7569944044764186E-2</v>
      </c>
    </row>
    <row r="64" spans="1:13" x14ac:dyDescent="0.2">
      <c r="A64" s="3">
        <v>45717</v>
      </c>
      <c r="B64">
        <v>7</v>
      </c>
      <c r="D64">
        <v>0.115</v>
      </c>
      <c r="E64">
        <v>9.1640190627482132E-2</v>
      </c>
      <c r="F64">
        <v>1.3240228529971887E-2</v>
      </c>
      <c r="G64">
        <v>3.5458420241226078E-2</v>
      </c>
      <c r="H64">
        <v>1.5416704452706992E-3</v>
      </c>
      <c r="I64">
        <v>1.1789244581481817E-3</v>
      </c>
      <c r="J64">
        <v>1.0519633626553006E-2</v>
      </c>
      <c r="K64">
        <v>1.6323569420513286E-3</v>
      </c>
      <c r="L64">
        <v>7.0100662011426493E-2</v>
      </c>
      <c r="M64">
        <v>4.0174118073818807E-2</v>
      </c>
    </row>
    <row r="65" spans="1:13" x14ac:dyDescent="0.2">
      <c r="A65" s="3">
        <v>45748</v>
      </c>
      <c r="B65">
        <v>4</v>
      </c>
      <c r="D65">
        <v>4.5999999999999999E-2</v>
      </c>
      <c r="E65">
        <v>4.6738964411180695E-2</v>
      </c>
      <c r="F65">
        <v>1.6837284482758622E-2</v>
      </c>
      <c r="G65">
        <v>5.4552801724137928E-2</v>
      </c>
      <c r="H65">
        <v>3.2327586206896551E-3</v>
      </c>
      <c r="I65">
        <v>4.0409482758620689E-4</v>
      </c>
      <c r="J65">
        <v>2.7613146551724137E-2</v>
      </c>
      <c r="K65">
        <v>1.0775862068965517E-3</v>
      </c>
      <c r="L65">
        <v>0.10317887931034483</v>
      </c>
      <c r="M65">
        <v>2.8017241379310345E-2</v>
      </c>
    </row>
    <row r="66" spans="1:13" x14ac:dyDescent="0.2">
      <c r="A66" s="3">
        <v>45778</v>
      </c>
      <c r="B66">
        <v>4</v>
      </c>
      <c r="D66">
        <v>4.2999999999999997E-2</v>
      </c>
      <c r="E66">
        <v>1.1315013787201674E-2</v>
      </c>
      <c r="F66">
        <v>1.7577266735022704E-2</v>
      </c>
      <c r="G66">
        <v>4.3503735169181192E-2</v>
      </c>
      <c r="H66">
        <v>6.2985205800498026E-3</v>
      </c>
      <c r="I66">
        <v>1.6112494507104144E-3</v>
      </c>
      <c r="J66">
        <v>5.1413505199941409E-2</v>
      </c>
      <c r="K66">
        <v>1.4647722279185587E-4</v>
      </c>
      <c r="L66">
        <v>0.13007177383916801</v>
      </c>
      <c r="M66">
        <v>1.0546360041013622E-2</v>
      </c>
    </row>
    <row r="67" spans="1:13" x14ac:dyDescent="0.2">
      <c r="A67" s="3">
        <v>45809</v>
      </c>
      <c r="B67">
        <v>3</v>
      </c>
      <c r="D67">
        <v>2.7E-2</v>
      </c>
      <c r="E67">
        <v>3.5906642728904849E-3</v>
      </c>
      <c r="F67">
        <v>1.230827494792653E-2</v>
      </c>
      <c r="G67">
        <v>2.0450672221170235E-2</v>
      </c>
      <c r="H67">
        <v>3.2190872940730921E-3</v>
      </c>
      <c r="I67">
        <v>3.7871615224389322E-3</v>
      </c>
      <c r="J67">
        <v>4.2605567127437988E-2</v>
      </c>
      <c r="K67">
        <v>1.7042226850975193E-3</v>
      </c>
      <c r="L67">
        <v>0.1113425487597046</v>
      </c>
      <c r="M67">
        <v>8.710471501609543E-3</v>
      </c>
    </row>
    <row r="68" spans="1:13" x14ac:dyDescent="0.2">
      <c r="A68" s="3">
        <v>45839</v>
      </c>
      <c r="B68">
        <v>2</v>
      </c>
      <c r="D68">
        <v>8.0000000000000002E-3</v>
      </c>
      <c r="E68">
        <v>2.682234143262859E-3</v>
      </c>
      <c r="F68">
        <v>1.0653753026634382E-2</v>
      </c>
      <c r="G68">
        <v>1.1138014527845037E-2</v>
      </c>
      <c r="H68">
        <v>2.6634382566585956E-3</v>
      </c>
      <c r="I68">
        <v>4.6004842615012106E-3</v>
      </c>
      <c r="J68">
        <v>1.9128329297820823E-2</v>
      </c>
      <c r="K68">
        <v>7.2639225181598058E-4</v>
      </c>
      <c r="L68">
        <v>8.2566585956416472E-2</v>
      </c>
      <c r="M68">
        <v>3.87409200968523E-3</v>
      </c>
    </row>
    <row r="69" spans="1:13" x14ac:dyDescent="0.2">
      <c r="A69" s="3">
        <v>45870</v>
      </c>
      <c r="B69">
        <v>0</v>
      </c>
      <c r="D69">
        <v>4.0000000000000001E-3</v>
      </c>
      <c r="E69">
        <v>8.0873433077234124E-4</v>
      </c>
      <c r="F69">
        <v>8.3737329219920678E-3</v>
      </c>
      <c r="G69">
        <v>1.5425297487880124E-3</v>
      </c>
      <c r="H69">
        <v>3.0850594975760249E-3</v>
      </c>
      <c r="I69">
        <v>6.1701189951520498E-3</v>
      </c>
      <c r="J69">
        <v>5.5090348171000442E-3</v>
      </c>
      <c r="K69">
        <v>6.6108417805200526E-4</v>
      </c>
      <c r="L69">
        <v>9.4755398854120765E-2</v>
      </c>
      <c r="M69">
        <v>1.7628911414720142E-3</v>
      </c>
    </row>
    <row r="70" spans="1:13" x14ac:dyDescent="0.2">
      <c r="A70" s="3">
        <v>45901</v>
      </c>
      <c r="B70">
        <v>4</v>
      </c>
      <c r="D70">
        <v>4.0000000000000001E-3</v>
      </c>
      <c r="E70">
        <v>2.9394473838918284E-4</v>
      </c>
      <c r="F70">
        <v>8.2505472301734294E-3</v>
      </c>
      <c r="G70">
        <v>1.0102710894089914E-3</v>
      </c>
      <c r="H70">
        <v>3.7043273278329686E-3</v>
      </c>
      <c r="I70">
        <v>1.0271089408991413E-2</v>
      </c>
      <c r="J70">
        <v>2.0205421788179827E-3</v>
      </c>
      <c r="K70">
        <v>6.7351405960599424E-4</v>
      </c>
      <c r="L70">
        <v>0.17006230005051357</v>
      </c>
      <c r="M70">
        <v>2.1889206937194812E-3</v>
      </c>
    </row>
    <row r="73" spans="1:13" x14ac:dyDescent="0.2">
      <c r="B73">
        <f>CORREL(B2:B52,C2:C52)</f>
        <v>-0.241195394272056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D38-CED6-CA44-AEA5-208DD0662B70}">
  <dimension ref="A1:M70"/>
  <sheetViews>
    <sheetView tabSelected="1" zoomScale="75" zoomScaleNormal="50" workbookViewId="0">
      <selection activeCell="L16" sqref="L16"/>
    </sheetView>
  </sheetViews>
  <sheetFormatPr baseColWidth="10" defaultRowHeight="16" x14ac:dyDescent="0.2"/>
  <cols>
    <col min="1" max="1" width="13.83203125" customWidth="1"/>
  </cols>
  <sheetData>
    <row r="1" spans="1:13" x14ac:dyDescent="0.2">
      <c r="B1" t="s">
        <v>0</v>
      </c>
      <c r="C1" t="s">
        <v>1</v>
      </c>
      <c r="D1" t="s">
        <v>94</v>
      </c>
      <c r="E1" t="s">
        <v>83</v>
      </c>
      <c r="F1" t="s">
        <v>86</v>
      </c>
      <c r="G1" t="s">
        <v>87</v>
      </c>
      <c r="H1" t="s">
        <v>95</v>
      </c>
      <c r="I1" t="s">
        <v>96</v>
      </c>
      <c r="J1" t="s">
        <v>97</v>
      </c>
      <c r="K1" t="s">
        <v>98</v>
      </c>
      <c r="L1" t="s">
        <v>81</v>
      </c>
      <c r="M1" t="s">
        <v>99</v>
      </c>
    </row>
    <row r="2" spans="1:13" x14ac:dyDescent="0.2">
      <c r="A2" t="s">
        <v>29</v>
      </c>
      <c r="B2">
        <v>6</v>
      </c>
      <c r="C2">
        <v>0</v>
      </c>
      <c r="D2">
        <v>2366</v>
      </c>
    </row>
    <row r="3" spans="1:13" x14ac:dyDescent="0.2">
      <c r="A3" t="s">
        <v>30</v>
      </c>
      <c r="B3">
        <v>6</v>
      </c>
      <c r="C3">
        <v>0</v>
      </c>
      <c r="D3">
        <v>2424</v>
      </c>
    </row>
    <row r="4" spans="1:13" x14ac:dyDescent="0.2">
      <c r="A4" t="s">
        <v>31</v>
      </c>
      <c r="B4">
        <v>6</v>
      </c>
      <c r="C4">
        <v>170</v>
      </c>
      <c r="D4">
        <v>1259</v>
      </c>
    </row>
    <row r="5" spans="1:13" x14ac:dyDescent="0.2">
      <c r="A5" t="s">
        <v>32</v>
      </c>
      <c r="B5">
        <v>1</v>
      </c>
      <c r="C5">
        <v>525</v>
      </c>
      <c r="D5">
        <v>34</v>
      </c>
    </row>
    <row r="6" spans="1:13" x14ac:dyDescent="0.2">
      <c r="A6" t="s">
        <v>33</v>
      </c>
      <c r="B6">
        <v>0</v>
      </c>
      <c r="C6">
        <v>784</v>
      </c>
      <c r="D6">
        <v>1</v>
      </c>
    </row>
    <row r="7" spans="1:13" x14ac:dyDescent="0.2">
      <c r="A7" t="s">
        <v>34</v>
      </c>
      <c r="B7">
        <v>4</v>
      </c>
      <c r="C7">
        <v>646</v>
      </c>
      <c r="D7">
        <v>0</v>
      </c>
    </row>
    <row r="8" spans="1:13" x14ac:dyDescent="0.2">
      <c r="A8" t="s">
        <v>35</v>
      </c>
      <c r="B8">
        <v>3</v>
      </c>
      <c r="C8">
        <v>1548</v>
      </c>
      <c r="D8">
        <v>1</v>
      </c>
    </row>
    <row r="9" spans="1:13" x14ac:dyDescent="0.2">
      <c r="A9" t="s">
        <v>36</v>
      </c>
      <c r="B9">
        <v>1</v>
      </c>
      <c r="C9">
        <v>1208</v>
      </c>
    </row>
    <row r="10" spans="1:13" x14ac:dyDescent="0.2">
      <c r="A10" t="s">
        <v>37</v>
      </c>
      <c r="B10">
        <v>2</v>
      </c>
      <c r="C10">
        <v>1674</v>
      </c>
    </row>
    <row r="11" spans="1:13" x14ac:dyDescent="0.2">
      <c r="A11" t="s">
        <v>38</v>
      </c>
      <c r="B11">
        <v>0</v>
      </c>
      <c r="C11">
        <v>5703</v>
      </c>
      <c r="D11">
        <v>7</v>
      </c>
      <c r="E11">
        <v>10</v>
      </c>
      <c r="F11">
        <v>3</v>
      </c>
      <c r="G11">
        <v>1</v>
      </c>
      <c r="H11">
        <v>0</v>
      </c>
      <c r="I11">
        <v>1</v>
      </c>
      <c r="J11">
        <v>2</v>
      </c>
      <c r="K11">
        <v>1</v>
      </c>
      <c r="L11">
        <v>203</v>
      </c>
      <c r="M11">
        <v>1</v>
      </c>
    </row>
    <row r="12" spans="1:13" x14ac:dyDescent="0.2">
      <c r="A12" t="s">
        <v>39</v>
      </c>
      <c r="B12">
        <v>2</v>
      </c>
      <c r="C12">
        <v>15545</v>
      </c>
      <c r="D12">
        <v>17</v>
      </c>
      <c r="E12">
        <v>7</v>
      </c>
      <c r="F12">
        <v>7</v>
      </c>
      <c r="G12">
        <v>0</v>
      </c>
      <c r="H12">
        <v>1</v>
      </c>
      <c r="I12">
        <v>1</v>
      </c>
      <c r="J12">
        <v>5</v>
      </c>
      <c r="K12">
        <v>0</v>
      </c>
      <c r="L12">
        <v>307</v>
      </c>
      <c r="M12">
        <v>5</v>
      </c>
    </row>
    <row r="13" spans="1:13" x14ac:dyDescent="0.2">
      <c r="A13" t="s">
        <v>40</v>
      </c>
      <c r="B13">
        <v>1</v>
      </c>
      <c r="C13">
        <v>10112</v>
      </c>
      <c r="D13">
        <v>21</v>
      </c>
      <c r="E13">
        <v>12</v>
      </c>
      <c r="F13">
        <v>11</v>
      </c>
      <c r="G13">
        <v>2</v>
      </c>
      <c r="H13">
        <v>0</v>
      </c>
      <c r="I13">
        <v>3</v>
      </c>
      <c r="J13">
        <v>1</v>
      </c>
      <c r="K13">
        <v>2</v>
      </c>
      <c r="L13">
        <v>152</v>
      </c>
      <c r="M13">
        <v>4</v>
      </c>
    </row>
    <row r="14" spans="1:13" x14ac:dyDescent="0.2">
      <c r="A14" t="s">
        <v>41</v>
      </c>
      <c r="B14">
        <v>1</v>
      </c>
      <c r="C14">
        <v>7416</v>
      </c>
      <c r="D14">
        <v>21</v>
      </c>
      <c r="E14">
        <v>1</v>
      </c>
      <c r="F14">
        <v>5</v>
      </c>
      <c r="G14">
        <v>7</v>
      </c>
      <c r="H14">
        <v>0</v>
      </c>
      <c r="I14">
        <v>0</v>
      </c>
      <c r="J14">
        <v>0</v>
      </c>
      <c r="K14">
        <v>0</v>
      </c>
      <c r="L14">
        <v>143</v>
      </c>
      <c r="M14">
        <v>6</v>
      </c>
    </row>
    <row r="15" spans="1:13" x14ac:dyDescent="0.2">
      <c r="A15" t="s">
        <v>42</v>
      </c>
      <c r="B15">
        <v>1</v>
      </c>
      <c r="C15">
        <v>4966</v>
      </c>
      <c r="D15">
        <v>13</v>
      </c>
      <c r="E15">
        <v>0</v>
      </c>
      <c r="F15">
        <v>6</v>
      </c>
      <c r="G15">
        <v>7</v>
      </c>
      <c r="H15">
        <v>0</v>
      </c>
      <c r="I15">
        <v>0</v>
      </c>
      <c r="J15">
        <v>0</v>
      </c>
      <c r="K15">
        <v>1</v>
      </c>
      <c r="L15">
        <v>153</v>
      </c>
      <c r="M15">
        <v>4</v>
      </c>
    </row>
    <row r="16" spans="1:13" x14ac:dyDescent="0.2">
      <c r="A16" t="s">
        <v>43</v>
      </c>
      <c r="B16">
        <v>1</v>
      </c>
      <c r="C16">
        <v>5503</v>
      </c>
      <c r="D16">
        <v>3</v>
      </c>
      <c r="E16">
        <v>0</v>
      </c>
      <c r="F16">
        <v>6</v>
      </c>
      <c r="G16">
        <v>3</v>
      </c>
      <c r="H16">
        <v>0</v>
      </c>
      <c r="I16">
        <v>0</v>
      </c>
      <c r="J16">
        <v>0</v>
      </c>
      <c r="K16">
        <v>0</v>
      </c>
      <c r="L16">
        <v>118</v>
      </c>
      <c r="M16">
        <v>8</v>
      </c>
    </row>
    <row r="17" spans="1:13" x14ac:dyDescent="0.2">
      <c r="A17" t="s">
        <v>44</v>
      </c>
      <c r="B17">
        <v>2</v>
      </c>
      <c r="C17">
        <v>10152</v>
      </c>
      <c r="D17">
        <v>52</v>
      </c>
      <c r="E17">
        <v>2</v>
      </c>
      <c r="F17">
        <v>15</v>
      </c>
      <c r="G17">
        <v>4</v>
      </c>
      <c r="H17">
        <v>0</v>
      </c>
      <c r="I17">
        <v>0</v>
      </c>
      <c r="J17">
        <v>2</v>
      </c>
      <c r="K17">
        <v>0</v>
      </c>
      <c r="L17">
        <v>141</v>
      </c>
      <c r="M17">
        <v>25</v>
      </c>
    </row>
    <row r="18" spans="1:13" x14ac:dyDescent="0.2">
      <c r="A18" t="s">
        <v>45</v>
      </c>
      <c r="B18">
        <v>1</v>
      </c>
      <c r="C18">
        <v>5667</v>
      </c>
      <c r="D18">
        <v>22</v>
      </c>
      <c r="E18">
        <v>1</v>
      </c>
      <c r="F18">
        <v>16</v>
      </c>
      <c r="G18">
        <v>7</v>
      </c>
      <c r="H18">
        <v>1</v>
      </c>
      <c r="I18">
        <v>0</v>
      </c>
      <c r="J18">
        <v>16</v>
      </c>
      <c r="K18">
        <v>1</v>
      </c>
      <c r="L18">
        <v>189</v>
      </c>
      <c r="M18">
        <v>34</v>
      </c>
    </row>
    <row r="19" spans="1:13" x14ac:dyDescent="0.2">
      <c r="A19" t="s">
        <v>46</v>
      </c>
      <c r="B19">
        <v>6</v>
      </c>
      <c r="C19">
        <v>1654</v>
      </c>
      <c r="D19">
        <v>5</v>
      </c>
      <c r="E19">
        <v>14</v>
      </c>
      <c r="F19">
        <v>36</v>
      </c>
      <c r="G19">
        <v>0</v>
      </c>
      <c r="H19">
        <v>0</v>
      </c>
      <c r="I19">
        <v>12</v>
      </c>
      <c r="J19">
        <v>135</v>
      </c>
      <c r="K19">
        <v>0</v>
      </c>
      <c r="L19">
        <v>310</v>
      </c>
      <c r="M19">
        <v>77</v>
      </c>
    </row>
    <row r="20" spans="1:13" x14ac:dyDescent="0.2">
      <c r="A20" t="s">
        <v>47</v>
      </c>
      <c r="B20">
        <v>4</v>
      </c>
      <c r="C20">
        <v>3093</v>
      </c>
      <c r="D20">
        <v>4</v>
      </c>
      <c r="E20">
        <v>54</v>
      </c>
      <c r="F20">
        <v>37</v>
      </c>
      <c r="G20">
        <v>0</v>
      </c>
      <c r="H20">
        <v>0</v>
      </c>
      <c r="I20">
        <v>12</v>
      </c>
      <c r="J20">
        <v>208</v>
      </c>
      <c r="K20">
        <v>1</v>
      </c>
      <c r="L20">
        <v>281</v>
      </c>
      <c r="M20">
        <v>60</v>
      </c>
    </row>
    <row r="21" spans="1:13" x14ac:dyDescent="0.2">
      <c r="A21" t="s">
        <v>48</v>
      </c>
      <c r="B21">
        <v>2</v>
      </c>
      <c r="C21">
        <v>9702</v>
      </c>
      <c r="D21">
        <v>1</v>
      </c>
      <c r="E21">
        <v>277</v>
      </c>
      <c r="F21">
        <v>60</v>
      </c>
      <c r="G21">
        <v>2</v>
      </c>
      <c r="H21">
        <v>1</v>
      </c>
      <c r="I21">
        <v>29</v>
      </c>
      <c r="J21">
        <v>188</v>
      </c>
      <c r="K21">
        <v>2</v>
      </c>
      <c r="L21">
        <v>550</v>
      </c>
      <c r="M21">
        <v>60</v>
      </c>
    </row>
    <row r="22" spans="1:13" x14ac:dyDescent="0.2">
      <c r="A22" t="s">
        <v>49</v>
      </c>
      <c r="B22">
        <v>3</v>
      </c>
      <c r="C22">
        <v>13058</v>
      </c>
      <c r="D22">
        <v>3</v>
      </c>
      <c r="E22">
        <v>366</v>
      </c>
      <c r="F22">
        <v>74</v>
      </c>
      <c r="G22">
        <v>3</v>
      </c>
      <c r="H22">
        <v>0</v>
      </c>
      <c r="I22">
        <v>49</v>
      </c>
      <c r="J22">
        <v>150</v>
      </c>
      <c r="K22">
        <v>20</v>
      </c>
      <c r="L22">
        <v>898</v>
      </c>
      <c r="M22">
        <v>58</v>
      </c>
    </row>
    <row r="23" spans="1:13" x14ac:dyDescent="0.2">
      <c r="A23" t="s">
        <v>50</v>
      </c>
      <c r="B23">
        <v>6</v>
      </c>
      <c r="C23">
        <v>15899</v>
      </c>
      <c r="D23">
        <v>17</v>
      </c>
      <c r="E23">
        <v>1141</v>
      </c>
      <c r="F23">
        <v>93</v>
      </c>
      <c r="G23">
        <v>9</v>
      </c>
      <c r="H23">
        <v>13</v>
      </c>
      <c r="I23">
        <v>51</v>
      </c>
      <c r="J23">
        <v>109</v>
      </c>
      <c r="K23">
        <v>48</v>
      </c>
      <c r="L23">
        <v>627</v>
      </c>
      <c r="M23">
        <v>44</v>
      </c>
    </row>
    <row r="24" spans="1:13" x14ac:dyDescent="0.2">
      <c r="A24" t="s">
        <v>51</v>
      </c>
      <c r="B24">
        <v>5</v>
      </c>
      <c r="C24">
        <v>19892</v>
      </c>
      <c r="D24">
        <v>75</v>
      </c>
      <c r="E24">
        <v>1330</v>
      </c>
      <c r="F24">
        <v>67</v>
      </c>
      <c r="G24">
        <v>11</v>
      </c>
      <c r="H24">
        <v>0</v>
      </c>
      <c r="I24">
        <v>60</v>
      </c>
      <c r="J24">
        <v>77</v>
      </c>
      <c r="K24">
        <v>29</v>
      </c>
      <c r="L24">
        <v>516</v>
      </c>
      <c r="M24">
        <v>64</v>
      </c>
    </row>
    <row r="25" spans="1:13" x14ac:dyDescent="0.2">
      <c r="A25" t="s">
        <v>52</v>
      </c>
      <c r="B25">
        <v>1</v>
      </c>
      <c r="C25">
        <v>22346</v>
      </c>
      <c r="D25">
        <v>485</v>
      </c>
      <c r="E25">
        <v>1263</v>
      </c>
      <c r="F25">
        <v>103</v>
      </c>
      <c r="G25">
        <v>40</v>
      </c>
      <c r="H25">
        <v>1</v>
      </c>
      <c r="I25">
        <v>32</v>
      </c>
      <c r="J25">
        <v>102</v>
      </c>
      <c r="K25">
        <v>34</v>
      </c>
      <c r="L25">
        <v>407</v>
      </c>
      <c r="M25">
        <v>110</v>
      </c>
    </row>
    <row r="26" spans="1:13" x14ac:dyDescent="0.2">
      <c r="A26" t="s">
        <v>53</v>
      </c>
      <c r="B26">
        <v>1</v>
      </c>
      <c r="C26">
        <v>73785</v>
      </c>
      <c r="D26">
        <v>1496</v>
      </c>
      <c r="E26">
        <v>917</v>
      </c>
      <c r="F26">
        <v>101</v>
      </c>
      <c r="G26">
        <v>117</v>
      </c>
      <c r="H26">
        <v>0</v>
      </c>
      <c r="I26">
        <v>27</v>
      </c>
      <c r="J26">
        <v>61</v>
      </c>
      <c r="K26">
        <v>26</v>
      </c>
      <c r="L26">
        <v>293</v>
      </c>
      <c r="M26">
        <v>115</v>
      </c>
    </row>
    <row r="27" spans="1:13" x14ac:dyDescent="0.2">
      <c r="A27" t="s">
        <v>54</v>
      </c>
      <c r="B27">
        <v>0</v>
      </c>
      <c r="C27">
        <v>7200</v>
      </c>
      <c r="D27">
        <v>311</v>
      </c>
      <c r="E27">
        <v>207</v>
      </c>
      <c r="F27">
        <v>79</v>
      </c>
      <c r="G27">
        <v>124</v>
      </c>
      <c r="H27">
        <v>0</v>
      </c>
      <c r="I27">
        <v>11</v>
      </c>
      <c r="J27">
        <v>22</v>
      </c>
      <c r="K27">
        <v>9</v>
      </c>
      <c r="L27">
        <v>207</v>
      </c>
      <c r="M27">
        <v>49</v>
      </c>
    </row>
    <row r="28" spans="1:13" x14ac:dyDescent="0.2">
      <c r="A28" t="s">
        <v>55</v>
      </c>
      <c r="B28">
        <v>6</v>
      </c>
      <c r="C28">
        <v>1952</v>
      </c>
      <c r="D28">
        <v>664</v>
      </c>
      <c r="E28">
        <v>159</v>
      </c>
      <c r="F28">
        <v>51</v>
      </c>
      <c r="G28">
        <v>141</v>
      </c>
      <c r="H28">
        <v>0</v>
      </c>
      <c r="I28">
        <v>4</v>
      </c>
      <c r="J28">
        <v>7</v>
      </c>
      <c r="K28">
        <v>16</v>
      </c>
      <c r="L28">
        <v>254</v>
      </c>
      <c r="M28">
        <v>65</v>
      </c>
    </row>
    <row r="29" spans="1:13" x14ac:dyDescent="0.2">
      <c r="A29" t="s">
        <v>56</v>
      </c>
      <c r="B29">
        <v>12</v>
      </c>
      <c r="C29">
        <v>2537</v>
      </c>
      <c r="D29">
        <v>1819.8</v>
      </c>
      <c r="E29">
        <v>92</v>
      </c>
      <c r="F29">
        <v>49</v>
      </c>
      <c r="G29">
        <v>133</v>
      </c>
      <c r="H29">
        <v>1</v>
      </c>
      <c r="I29">
        <v>3</v>
      </c>
      <c r="J29">
        <v>20</v>
      </c>
      <c r="K29">
        <v>3</v>
      </c>
      <c r="L29">
        <v>194</v>
      </c>
      <c r="M29">
        <v>77</v>
      </c>
    </row>
    <row r="30" spans="1:13" x14ac:dyDescent="0.2">
      <c r="A30" t="s">
        <v>57</v>
      </c>
      <c r="B30">
        <v>8</v>
      </c>
      <c r="C30">
        <v>6504</v>
      </c>
      <c r="D30">
        <v>2225</v>
      </c>
      <c r="E30">
        <v>125</v>
      </c>
      <c r="F30">
        <v>61</v>
      </c>
      <c r="G30">
        <v>119</v>
      </c>
      <c r="H30">
        <v>3</v>
      </c>
      <c r="I30">
        <v>2</v>
      </c>
      <c r="J30">
        <v>115</v>
      </c>
      <c r="K30">
        <v>16</v>
      </c>
      <c r="L30">
        <v>237</v>
      </c>
      <c r="M30">
        <v>94</v>
      </c>
    </row>
    <row r="31" spans="1:13" x14ac:dyDescent="0.2">
      <c r="A31" t="s">
        <v>58</v>
      </c>
      <c r="B31">
        <v>5</v>
      </c>
      <c r="C31">
        <v>6523</v>
      </c>
      <c r="D31">
        <v>741</v>
      </c>
      <c r="E31">
        <v>95</v>
      </c>
      <c r="F31">
        <v>63</v>
      </c>
      <c r="G31">
        <v>46</v>
      </c>
      <c r="H31">
        <v>5</v>
      </c>
      <c r="I31">
        <v>3</v>
      </c>
      <c r="J31">
        <v>167</v>
      </c>
      <c r="K31">
        <v>23</v>
      </c>
      <c r="L31">
        <v>220</v>
      </c>
      <c r="M31">
        <v>73</v>
      </c>
    </row>
    <row r="32" spans="1:13" x14ac:dyDescent="0.2">
      <c r="A32" t="s">
        <v>59</v>
      </c>
      <c r="B32">
        <v>3</v>
      </c>
      <c r="C32">
        <v>6351</v>
      </c>
      <c r="D32">
        <v>48</v>
      </c>
      <c r="E32">
        <v>68</v>
      </c>
      <c r="F32">
        <v>47</v>
      </c>
      <c r="G32">
        <v>11</v>
      </c>
      <c r="H32">
        <v>1</v>
      </c>
      <c r="I32">
        <v>3</v>
      </c>
      <c r="J32">
        <v>41</v>
      </c>
      <c r="K32">
        <v>13</v>
      </c>
      <c r="L32">
        <v>139</v>
      </c>
      <c r="M32">
        <v>13</v>
      </c>
    </row>
    <row r="33" spans="1:13" x14ac:dyDescent="0.2">
      <c r="A33" t="s">
        <v>60</v>
      </c>
      <c r="B33">
        <v>3</v>
      </c>
      <c r="C33">
        <v>4578</v>
      </c>
      <c r="D33">
        <v>25</v>
      </c>
      <c r="E33">
        <v>93</v>
      </c>
      <c r="F33">
        <v>31</v>
      </c>
      <c r="G33">
        <v>1</v>
      </c>
      <c r="H33">
        <v>2</v>
      </c>
      <c r="I33">
        <v>2</v>
      </c>
      <c r="J33">
        <v>13</v>
      </c>
      <c r="K33">
        <v>8</v>
      </c>
      <c r="L33">
        <v>181</v>
      </c>
      <c r="M33">
        <v>3</v>
      </c>
    </row>
    <row r="34" spans="1:13" x14ac:dyDescent="0.2">
      <c r="A34" t="s">
        <v>61</v>
      </c>
      <c r="B34">
        <v>5</v>
      </c>
      <c r="C34">
        <v>2066</v>
      </c>
      <c r="D34">
        <v>30</v>
      </c>
      <c r="E34">
        <v>141</v>
      </c>
      <c r="F34">
        <v>57</v>
      </c>
      <c r="G34">
        <v>6</v>
      </c>
      <c r="H34">
        <v>9</v>
      </c>
      <c r="I34">
        <v>2</v>
      </c>
      <c r="J34">
        <v>6</v>
      </c>
      <c r="K34">
        <v>36</v>
      </c>
      <c r="L34">
        <v>658</v>
      </c>
      <c r="M34">
        <v>6</v>
      </c>
    </row>
    <row r="35" spans="1:13" x14ac:dyDescent="0.2">
      <c r="A35" t="s">
        <v>62</v>
      </c>
      <c r="B35">
        <v>5</v>
      </c>
      <c r="C35">
        <v>2201</v>
      </c>
      <c r="D35">
        <v>95</v>
      </c>
      <c r="E35">
        <v>1099</v>
      </c>
      <c r="F35">
        <v>136</v>
      </c>
      <c r="G35">
        <v>5</v>
      </c>
      <c r="H35">
        <v>55</v>
      </c>
      <c r="I35">
        <v>34</v>
      </c>
      <c r="J35">
        <v>40</v>
      </c>
      <c r="K35">
        <v>119</v>
      </c>
      <c r="L35">
        <v>1005</v>
      </c>
      <c r="M35">
        <v>20</v>
      </c>
    </row>
    <row r="36" spans="1:13" x14ac:dyDescent="0.2">
      <c r="A36" t="s">
        <v>63</v>
      </c>
      <c r="B36">
        <v>11</v>
      </c>
      <c r="C36">
        <v>3856</v>
      </c>
      <c r="D36">
        <v>3052</v>
      </c>
      <c r="E36">
        <v>4194</v>
      </c>
      <c r="F36">
        <v>192</v>
      </c>
      <c r="G36">
        <v>26</v>
      </c>
      <c r="H36">
        <v>157</v>
      </c>
      <c r="I36">
        <v>25</v>
      </c>
      <c r="J36">
        <v>42</v>
      </c>
      <c r="K36">
        <v>158</v>
      </c>
      <c r="L36">
        <v>1082</v>
      </c>
      <c r="M36">
        <v>40</v>
      </c>
    </row>
    <row r="37" spans="1:13" x14ac:dyDescent="0.2">
      <c r="A37" t="s">
        <v>64</v>
      </c>
      <c r="B37">
        <v>18</v>
      </c>
      <c r="C37">
        <v>2723</v>
      </c>
      <c r="D37">
        <v>7063</v>
      </c>
      <c r="E37">
        <v>3499</v>
      </c>
      <c r="F37">
        <v>152</v>
      </c>
      <c r="G37">
        <v>72</v>
      </c>
      <c r="H37">
        <v>130</v>
      </c>
      <c r="I37">
        <v>13</v>
      </c>
      <c r="J37">
        <v>59</v>
      </c>
      <c r="K37">
        <v>85</v>
      </c>
      <c r="L37">
        <v>671</v>
      </c>
      <c r="M37">
        <v>212</v>
      </c>
    </row>
    <row r="38" spans="1:13" x14ac:dyDescent="0.2">
      <c r="A38" t="s">
        <v>65</v>
      </c>
      <c r="B38">
        <v>9</v>
      </c>
      <c r="C38">
        <v>1462</v>
      </c>
      <c r="D38">
        <v>2445</v>
      </c>
      <c r="E38">
        <v>1392</v>
      </c>
      <c r="F38">
        <v>145</v>
      </c>
      <c r="G38">
        <v>133</v>
      </c>
      <c r="H38">
        <v>61</v>
      </c>
      <c r="I38">
        <v>10</v>
      </c>
      <c r="J38">
        <v>77</v>
      </c>
      <c r="K38">
        <v>28</v>
      </c>
      <c r="L38">
        <v>506</v>
      </c>
      <c r="M38">
        <v>277</v>
      </c>
    </row>
    <row r="39" spans="1:13" x14ac:dyDescent="0.2">
      <c r="A39" t="s">
        <v>66</v>
      </c>
      <c r="B39">
        <v>14</v>
      </c>
      <c r="C39">
        <v>1618</v>
      </c>
      <c r="D39">
        <v>324</v>
      </c>
      <c r="E39">
        <v>511</v>
      </c>
      <c r="F39">
        <v>155</v>
      </c>
      <c r="G39">
        <v>203</v>
      </c>
      <c r="H39">
        <v>35</v>
      </c>
      <c r="I39">
        <v>10</v>
      </c>
      <c r="J39">
        <v>118</v>
      </c>
      <c r="K39">
        <v>12</v>
      </c>
      <c r="L39">
        <v>645</v>
      </c>
      <c r="M39">
        <v>331</v>
      </c>
    </row>
    <row r="40" spans="1:13" x14ac:dyDescent="0.2">
      <c r="A40" t="s">
        <v>67</v>
      </c>
      <c r="B40">
        <v>5</v>
      </c>
      <c r="C40">
        <v>1135</v>
      </c>
      <c r="D40">
        <v>197</v>
      </c>
      <c r="E40">
        <v>234</v>
      </c>
      <c r="F40">
        <v>219</v>
      </c>
      <c r="G40">
        <v>570</v>
      </c>
      <c r="H40">
        <v>47</v>
      </c>
      <c r="I40">
        <v>44</v>
      </c>
      <c r="J40">
        <v>277</v>
      </c>
      <c r="K40">
        <v>12</v>
      </c>
      <c r="L40">
        <v>666</v>
      </c>
      <c r="M40">
        <v>454</v>
      </c>
    </row>
    <row r="41" spans="1:13" x14ac:dyDescent="0.2">
      <c r="A41" t="s">
        <v>68</v>
      </c>
      <c r="B41">
        <v>9</v>
      </c>
      <c r="C41">
        <v>734</v>
      </c>
      <c r="D41">
        <v>199</v>
      </c>
      <c r="E41">
        <v>90</v>
      </c>
      <c r="F41">
        <v>208</v>
      </c>
      <c r="G41">
        <v>514</v>
      </c>
      <c r="H41">
        <v>63</v>
      </c>
      <c r="I41">
        <v>66</v>
      </c>
      <c r="J41">
        <v>286</v>
      </c>
      <c r="K41">
        <v>5</v>
      </c>
      <c r="L41">
        <v>762</v>
      </c>
      <c r="M41">
        <v>204</v>
      </c>
    </row>
    <row r="42" spans="1:13" x14ac:dyDescent="0.2">
      <c r="A42" t="s">
        <v>69</v>
      </c>
      <c r="B42">
        <v>6</v>
      </c>
      <c r="C42">
        <v>346</v>
      </c>
      <c r="D42">
        <v>151</v>
      </c>
      <c r="E42">
        <v>27</v>
      </c>
      <c r="F42">
        <v>184</v>
      </c>
      <c r="G42">
        <v>210</v>
      </c>
      <c r="H42">
        <v>40</v>
      </c>
      <c r="I42">
        <v>67</v>
      </c>
      <c r="J42">
        <v>244</v>
      </c>
      <c r="K42">
        <v>7</v>
      </c>
      <c r="L42">
        <v>866</v>
      </c>
      <c r="M42">
        <v>92</v>
      </c>
    </row>
    <row r="43" spans="1:13" x14ac:dyDescent="0.2">
      <c r="A43" t="s">
        <v>70</v>
      </c>
      <c r="B43">
        <v>4</v>
      </c>
      <c r="C43">
        <v>166</v>
      </c>
      <c r="D43">
        <v>60</v>
      </c>
      <c r="E43">
        <v>13</v>
      </c>
      <c r="F43">
        <v>193</v>
      </c>
      <c r="G43">
        <v>28</v>
      </c>
      <c r="H43">
        <v>25</v>
      </c>
      <c r="I43">
        <v>74</v>
      </c>
      <c r="J43">
        <v>82</v>
      </c>
      <c r="K43">
        <v>12</v>
      </c>
      <c r="L43">
        <v>646</v>
      </c>
      <c r="M43">
        <v>28</v>
      </c>
    </row>
    <row r="44" spans="1:13" x14ac:dyDescent="0.2">
      <c r="A44" t="s">
        <v>71</v>
      </c>
      <c r="B44">
        <v>2</v>
      </c>
      <c r="C44">
        <v>286</v>
      </c>
      <c r="D44">
        <v>46</v>
      </c>
      <c r="E44">
        <v>13</v>
      </c>
      <c r="F44">
        <v>145</v>
      </c>
      <c r="G44">
        <v>12</v>
      </c>
      <c r="H44">
        <v>10</v>
      </c>
      <c r="I44">
        <v>37</v>
      </c>
      <c r="J44">
        <v>34</v>
      </c>
      <c r="K44">
        <v>1</v>
      </c>
      <c r="L44">
        <v>385</v>
      </c>
      <c r="M44">
        <v>14</v>
      </c>
    </row>
    <row r="45" spans="1:13" x14ac:dyDescent="0.2">
      <c r="A45" t="s">
        <v>72</v>
      </c>
      <c r="B45">
        <v>3</v>
      </c>
      <c r="C45">
        <v>1119</v>
      </c>
      <c r="D45">
        <v>39</v>
      </c>
      <c r="E45">
        <v>28</v>
      </c>
      <c r="F45">
        <v>134</v>
      </c>
      <c r="G45">
        <v>8</v>
      </c>
      <c r="H45">
        <v>14</v>
      </c>
      <c r="I45">
        <v>24</v>
      </c>
      <c r="J45">
        <v>12</v>
      </c>
      <c r="K45">
        <v>1</v>
      </c>
      <c r="L45">
        <v>361</v>
      </c>
      <c r="M45">
        <v>21</v>
      </c>
    </row>
    <row r="46" spans="1:13" x14ac:dyDescent="0.2">
      <c r="A46" t="s">
        <v>73</v>
      </c>
      <c r="B46">
        <v>4</v>
      </c>
      <c r="C46">
        <v>1282</v>
      </c>
      <c r="D46">
        <v>56</v>
      </c>
      <c r="E46">
        <v>36</v>
      </c>
      <c r="F46">
        <v>96</v>
      </c>
      <c r="G46">
        <v>2</v>
      </c>
      <c r="H46">
        <v>32</v>
      </c>
      <c r="I46">
        <v>14</v>
      </c>
      <c r="J46">
        <v>12</v>
      </c>
      <c r="K46">
        <v>12</v>
      </c>
      <c r="L46">
        <v>1004</v>
      </c>
      <c r="M46">
        <v>9</v>
      </c>
    </row>
    <row r="47" spans="1:13" x14ac:dyDescent="0.2">
      <c r="A47" t="s">
        <v>74</v>
      </c>
      <c r="B47">
        <v>5</v>
      </c>
      <c r="C47">
        <v>1877</v>
      </c>
      <c r="D47">
        <v>205</v>
      </c>
      <c r="E47">
        <v>153</v>
      </c>
      <c r="F47">
        <v>132</v>
      </c>
      <c r="G47">
        <v>6</v>
      </c>
      <c r="H47">
        <v>88</v>
      </c>
      <c r="I47">
        <v>63</v>
      </c>
      <c r="J47">
        <v>7</v>
      </c>
      <c r="K47">
        <v>19</v>
      </c>
      <c r="L47">
        <v>1039</v>
      </c>
      <c r="M47">
        <v>33</v>
      </c>
    </row>
    <row r="48" spans="1:13" x14ac:dyDescent="0.2">
      <c r="A48" t="s">
        <v>75</v>
      </c>
      <c r="B48">
        <v>3</v>
      </c>
      <c r="C48">
        <v>2475</v>
      </c>
      <c r="D48">
        <v>1162</v>
      </c>
      <c r="E48">
        <v>539</v>
      </c>
      <c r="F48">
        <v>142</v>
      </c>
      <c r="G48">
        <v>18</v>
      </c>
      <c r="H48">
        <v>111</v>
      </c>
      <c r="I48">
        <v>53</v>
      </c>
      <c r="J48">
        <v>8</v>
      </c>
      <c r="K48">
        <v>28</v>
      </c>
      <c r="L48">
        <v>1009</v>
      </c>
      <c r="M48">
        <v>48</v>
      </c>
    </row>
    <row r="49" spans="1:13" x14ac:dyDescent="0.2">
      <c r="A49" t="s">
        <v>76</v>
      </c>
      <c r="B49">
        <v>10</v>
      </c>
      <c r="C49">
        <v>2281</v>
      </c>
      <c r="D49">
        <v>3849</v>
      </c>
      <c r="E49">
        <v>2322</v>
      </c>
      <c r="F49">
        <v>158</v>
      </c>
      <c r="G49">
        <v>31</v>
      </c>
      <c r="H49">
        <v>69</v>
      </c>
      <c r="I49">
        <v>37</v>
      </c>
      <c r="J49">
        <v>14</v>
      </c>
      <c r="K49">
        <v>55</v>
      </c>
      <c r="L49">
        <v>713</v>
      </c>
      <c r="M49">
        <v>139</v>
      </c>
    </row>
    <row r="50" spans="1:13" x14ac:dyDescent="0.2">
      <c r="A50" t="s">
        <v>77</v>
      </c>
      <c r="B50">
        <v>7</v>
      </c>
      <c r="C50">
        <v>1692</v>
      </c>
      <c r="D50">
        <v>4841</v>
      </c>
      <c r="E50">
        <v>2689</v>
      </c>
      <c r="F50">
        <v>131</v>
      </c>
      <c r="G50">
        <v>61</v>
      </c>
      <c r="H50">
        <v>47</v>
      </c>
      <c r="I50">
        <v>15</v>
      </c>
      <c r="J50">
        <v>17</v>
      </c>
      <c r="K50">
        <v>36</v>
      </c>
      <c r="L50">
        <v>591</v>
      </c>
      <c r="M50">
        <v>266</v>
      </c>
    </row>
    <row r="51" spans="1:13" x14ac:dyDescent="0.2">
      <c r="A51" t="s">
        <v>78</v>
      </c>
      <c r="B51">
        <v>9</v>
      </c>
      <c r="C51">
        <v>1271</v>
      </c>
      <c r="D51">
        <v>2990</v>
      </c>
      <c r="E51">
        <v>1659</v>
      </c>
      <c r="F51">
        <v>92</v>
      </c>
      <c r="G51">
        <v>60</v>
      </c>
      <c r="H51">
        <v>18</v>
      </c>
      <c r="I51">
        <v>2</v>
      </c>
      <c r="J51">
        <v>21</v>
      </c>
      <c r="K51">
        <v>10</v>
      </c>
      <c r="L51">
        <v>580</v>
      </c>
      <c r="M51">
        <v>386</v>
      </c>
    </row>
    <row r="52" spans="1:13" x14ac:dyDescent="0.2">
      <c r="A52" t="s">
        <v>79</v>
      </c>
      <c r="B52">
        <v>4</v>
      </c>
      <c r="C52">
        <v>522</v>
      </c>
      <c r="D52">
        <v>1837</v>
      </c>
      <c r="E52">
        <v>895</v>
      </c>
      <c r="F52">
        <v>121</v>
      </c>
      <c r="G52">
        <v>218</v>
      </c>
      <c r="H52">
        <v>17</v>
      </c>
      <c r="I52">
        <v>7</v>
      </c>
      <c r="J52">
        <v>95</v>
      </c>
      <c r="K52">
        <v>16</v>
      </c>
      <c r="L52">
        <v>668</v>
      </c>
      <c r="M52">
        <v>488</v>
      </c>
    </row>
    <row r="53" spans="1:13" x14ac:dyDescent="0.2">
      <c r="A53" s="3">
        <v>45383</v>
      </c>
      <c r="B53">
        <v>2</v>
      </c>
      <c r="D53">
        <v>699</v>
      </c>
      <c r="E53">
        <v>327</v>
      </c>
      <c r="F53">
        <v>150</v>
      </c>
      <c r="G53">
        <v>416</v>
      </c>
      <c r="H53">
        <v>15</v>
      </c>
      <c r="I53">
        <v>5</v>
      </c>
      <c r="J53">
        <v>245</v>
      </c>
      <c r="K53">
        <v>33</v>
      </c>
      <c r="L53">
        <v>897</v>
      </c>
      <c r="M53">
        <v>255</v>
      </c>
    </row>
    <row r="54" spans="1:13" x14ac:dyDescent="0.2">
      <c r="A54" s="3">
        <v>45413</v>
      </c>
      <c r="B54">
        <v>3</v>
      </c>
      <c r="D54">
        <v>346</v>
      </c>
      <c r="E54">
        <v>133</v>
      </c>
      <c r="F54">
        <v>135</v>
      </c>
      <c r="G54">
        <v>437</v>
      </c>
      <c r="H54">
        <v>25</v>
      </c>
      <c r="I54">
        <v>3</v>
      </c>
      <c r="J54">
        <v>491</v>
      </c>
      <c r="K54">
        <v>33</v>
      </c>
      <c r="L54">
        <v>1065</v>
      </c>
      <c r="M54">
        <v>120</v>
      </c>
    </row>
    <row r="55" spans="1:13" x14ac:dyDescent="0.2">
      <c r="A55" s="3">
        <v>45444</v>
      </c>
      <c r="B55">
        <v>3</v>
      </c>
      <c r="D55">
        <v>142</v>
      </c>
      <c r="E55">
        <v>40</v>
      </c>
      <c r="F55">
        <v>131</v>
      </c>
      <c r="G55">
        <v>248</v>
      </c>
      <c r="H55">
        <v>18</v>
      </c>
      <c r="I55">
        <v>2</v>
      </c>
      <c r="J55">
        <v>365</v>
      </c>
      <c r="K55">
        <v>26</v>
      </c>
      <c r="L55">
        <v>734</v>
      </c>
      <c r="M55">
        <v>60</v>
      </c>
    </row>
    <row r="56" spans="1:13" x14ac:dyDescent="0.2">
      <c r="A56" s="3">
        <v>45474</v>
      </c>
      <c r="B56">
        <v>4</v>
      </c>
      <c r="D56">
        <v>74</v>
      </c>
      <c r="E56">
        <v>16</v>
      </c>
      <c r="F56">
        <v>56</v>
      </c>
      <c r="G56">
        <v>37</v>
      </c>
      <c r="H56">
        <v>9</v>
      </c>
      <c r="I56">
        <v>4</v>
      </c>
      <c r="J56">
        <v>87</v>
      </c>
      <c r="K56">
        <v>26</v>
      </c>
      <c r="L56">
        <v>366</v>
      </c>
      <c r="M56">
        <v>22</v>
      </c>
    </row>
    <row r="57" spans="1:13" x14ac:dyDescent="0.2">
      <c r="A57" s="3">
        <v>45505</v>
      </c>
      <c r="B57">
        <v>3</v>
      </c>
      <c r="D57">
        <v>38</v>
      </c>
      <c r="E57">
        <v>8</v>
      </c>
      <c r="F57">
        <v>60</v>
      </c>
      <c r="G57">
        <v>295</v>
      </c>
      <c r="H57">
        <v>9</v>
      </c>
      <c r="I57">
        <v>8</v>
      </c>
      <c r="J57">
        <v>9</v>
      </c>
      <c r="K57">
        <v>35</v>
      </c>
      <c r="L57">
        <v>438</v>
      </c>
      <c r="M57">
        <v>13</v>
      </c>
    </row>
    <row r="58" spans="1:13" x14ac:dyDescent="0.2">
      <c r="A58" s="3">
        <v>45536</v>
      </c>
      <c r="B58">
        <v>4</v>
      </c>
      <c r="D58">
        <v>45</v>
      </c>
      <c r="E58">
        <v>7</v>
      </c>
      <c r="F58">
        <v>67</v>
      </c>
      <c r="G58">
        <v>4</v>
      </c>
      <c r="H58">
        <v>17</v>
      </c>
      <c r="I58">
        <v>11</v>
      </c>
      <c r="J58">
        <v>10</v>
      </c>
      <c r="K58">
        <v>56</v>
      </c>
      <c r="L58">
        <v>1080</v>
      </c>
      <c r="M58">
        <v>22</v>
      </c>
    </row>
    <row r="59" spans="1:13" x14ac:dyDescent="0.2">
      <c r="A59" s="3">
        <v>45566</v>
      </c>
      <c r="B59">
        <v>6</v>
      </c>
      <c r="C59">
        <v>525</v>
      </c>
      <c r="D59">
        <v>148</v>
      </c>
      <c r="E59">
        <v>26</v>
      </c>
      <c r="F59">
        <v>92</v>
      </c>
      <c r="G59">
        <v>11</v>
      </c>
      <c r="H59">
        <v>49</v>
      </c>
      <c r="I59">
        <v>16</v>
      </c>
      <c r="J59">
        <v>12</v>
      </c>
      <c r="K59">
        <v>101</v>
      </c>
      <c r="L59">
        <v>1093</v>
      </c>
      <c r="M59">
        <v>23</v>
      </c>
    </row>
    <row r="60" spans="1:13" x14ac:dyDescent="0.2">
      <c r="A60" s="3">
        <v>45597</v>
      </c>
      <c r="B60">
        <v>2</v>
      </c>
      <c r="C60">
        <v>516</v>
      </c>
      <c r="D60">
        <v>374</v>
      </c>
      <c r="E60">
        <v>148</v>
      </c>
      <c r="F60">
        <v>117</v>
      </c>
      <c r="G60">
        <v>16</v>
      </c>
      <c r="H60">
        <v>103</v>
      </c>
      <c r="I60">
        <v>10</v>
      </c>
      <c r="J60">
        <v>26</v>
      </c>
      <c r="K60">
        <v>132</v>
      </c>
      <c r="L60">
        <v>1054</v>
      </c>
      <c r="M60">
        <v>77</v>
      </c>
    </row>
    <row r="61" spans="1:13" x14ac:dyDescent="0.2">
      <c r="A61" s="3">
        <v>45627</v>
      </c>
      <c r="B61">
        <v>8</v>
      </c>
      <c r="C61">
        <v>883</v>
      </c>
      <c r="D61">
        <v>1390</v>
      </c>
      <c r="E61">
        <v>602</v>
      </c>
      <c r="F61">
        <v>133</v>
      </c>
      <c r="G61">
        <v>44</v>
      </c>
      <c r="H61">
        <v>131</v>
      </c>
      <c r="I61">
        <v>17</v>
      </c>
      <c r="J61">
        <v>10</v>
      </c>
      <c r="K61">
        <v>154</v>
      </c>
      <c r="L61">
        <v>1027</v>
      </c>
      <c r="M61">
        <v>321</v>
      </c>
    </row>
    <row r="62" spans="1:13" x14ac:dyDescent="0.2">
      <c r="A62" s="3">
        <v>45658</v>
      </c>
      <c r="B62">
        <v>6</v>
      </c>
      <c r="C62">
        <v>674</v>
      </c>
      <c r="D62">
        <v>4905</v>
      </c>
      <c r="E62">
        <v>1838</v>
      </c>
      <c r="F62">
        <v>118</v>
      </c>
      <c r="G62">
        <v>111</v>
      </c>
      <c r="H62">
        <v>73</v>
      </c>
      <c r="I62">
        <v>12</v>
      </c>
      <c r="J62">
        <v>37</v>
      </c>
      <c r="K62">
        <v>64</v>
      </c>
      <c r="L62">
        <v>680</v>
      </c>
      <c r="M62">
        <v>500</v>
      </c>
    </row>
    <row r="63" spans="1:13" x14ac:dyDescent="0.2">
      <c r="A63" s="3">
        <v>45689</v>
      </c>
      <c r="B63">
        <v>12</v>
      </c>
      <c r="C63">
        <v>428</v>
      </c>
      <c r="D63">
        <v>6170</v>
      </c>
      <c r="E63">
        <v>2597</v>
      </c>
      <c r="F63">
        <v>96</v>
      </c>
      <c r="G63">
        <v>196</v>
      </c>
      <c r="H63">
        <v>31</v>
      </c>
      <c r="I63">
        <v>6</v>
      </c>
      <c r="J63">
        <v>21</v>
      </c>
      <c r="K63">
        <v>25</v>
      </c>
      <c r="L63">
        <v>565</v>
      </c>
      <c r="M63">
        <v>470</v>
      </c>
    </row>
    <row r="64" spans="1:13" x14ac:dyDescent="0.2">
      <c r="A64" s="3">
        <v>45717</v>
      </c>
      <c r="B64">
        <v>7</v>
      </c>
      <c r="C64">
        <v>320</v>
      </c>
      <c r="D64">
        <v>2585</v>
      </c>
      <c r="E64">
        <v>1846</v>
      </c>
      <c r="F64">
        <v>146</v>
      </c>
      <c r="G64">
        <v>391</v>
      </c>
      <c r="H64">
        <v>17</v>
      </c>
      <c r="I64">
        <v>13</v>
      </c>
      <c r="J64">
        <v>116</v>
      </c>
      <c r="K64">
        <v>18</v>
      </c>
      <c r="L64">
        <v>773</v>
      </c>
      <c r="M64">
        <v>443</v>
      </c>
    </row>
    <row r="65" spans="1:13" x14ac:dyDescent="0.2">
      <c r="A65" s="3">
        <v>45748</v>
      </c>
      <c r="B65">
        <v>4</v>
      </c>
      <c r="C65">
        <v>57</v>
      </c>
      <c r="D65">
        <v>661</v>
      </c>
      <c r="E65">
        <v>612</v>
      </c>
      <c r="F65">
        <v>125</v>
      </c>
      <c r="G65">
        <v>405</v>
      </c>
      <c r="H65">
        <v>24</v>
      </c>
      <c r="I65">
        <v>3</v>
      </c>
      <c r="J65">
        <v>205</v>
      </c>
      <c r="K65">
        <v>8</v>
      </c>
      <c r="L65">
        <v>766</v>
      </c>
      <c r="M65">
        <v>208</v>
      </c>
    </row>
    <row r="66" spans="1:13" x14ac:dyDescent="0.2">
      <c r="A66" s="3">
        <v>45778</v>
      </c>
      <c r="B66">
        <v>4</v>
      </c>
      <c r="C66">
        <v>190</v>
      </c>
      <c r="D66">
        <v>531</v>
      </c>
      <c r="E66">
        <v>119</v>
      </c>
      <c r="F66">
        <v>120</v>
      </c>
      <c r="G66">
        <v>297</v>
      </c>
      <c r="H66">
        <v>43</v>
      </c>
      <c r="I66">
        <v>11</v>
      </c>
      <c r="J66">
        <v>351</v>
      </c>
      <c r="K66">
        <v>1</v>
      </c>
      <c r="L66">
        <v>888</v>
      </c>
      <c r="M66">
        <v>72</v>
      </c>
    </row>
    <row r="67" spans="1:13" x14ac:dyDescent="0.2">
      <c r="A67" s="3">
        <v>45809</v>
      </c>
      <c r="B67">
        <v>3</v>
      </c>
      <c r="C67">
        <v>352</v>
      </c>
      <c r="D67">
        <v>241</v>
      </c>
      <c r="E67">
        <v>30</v>
      </c>
      <c r="F67">
        <v>65</v>
      </c>
      <c r="G67">
        <v>108</v>
      </c>
      <c r="H67">
        <v>17</v>
      </c>
      <c r="I67">
        <v>20</v>
      </c>
      <c r="J67">
        <v>225</v>
      </c>
      <c r="K67">
        <v>9</v>
      </c>
      <c r="L67">
        <v>588</v>
      </c>
      <c r="M67">
        <v>46</v>
      </c>
    </row>
    <row r="68" spans="1:13" x14ac:dyDescent="0.2">
      <c r="A68" s="3">
        <v>45839</v>
      </c>
      <c r="B68">
        <v>2</v>
      </c>
      <c r="C68">
        <v>324</v>
      </c>
      <c r="D68">
        <v>52</v>
      </c>
      <c r="E68">
        <v>17</v>
      </c>
      <c r="F68">
        <v>44</v>
      </c>
      <c r="G68">
        <v>46</v>
      </c>
      <c r="H68">
        <v>11</v>
      </c>
      <c r="I68">
        <v>19</v>
      </c>
      <c r="J68">
        <v>79</v>
      </c>
      <c r="K68">
        <v>3</v>
      </c>
      <c r="L68">
        <v>341</v>
      </c>
      <c r="M68">
        <v>16</v>
      </c>
    </row>
    <row r="69" spans="1:13" x14ac:dyDescent="0.2">
      <c r="A69" s="3">
        <v>45870</v>
      </c>
      <c r="B69">
        <v>0</v>
      </c>
      <c r="C69">
        <v>608</v>
      </c>
      <c r="D69">
        <v>31</v>
      </c>
      <c r="E69">
        <v>6</v>
      </c>
      <c r="F69">
        <v>38</v>
      </c>
      <c r="G69">
        <v>7</v>
      </c>
      <c r="H69">
        <v>14</v>
      </c>
      <c r="I69">
        <v>28</v>
      </c>
      <c r="J69">
        <v>25</v>
      </c>
      <c r="K69">
        <v>3</v>
      </c>
      <c r="L69">
        <v>430</v>
      </c>
      <c r="M69">
        <v>8</v>
      </c>
    </row>
    <row r="70" spans="1:13" x14ac:dyDescent="0.2">
      <c r="A70" s="3">
        <v>45901</v>
      </c>
      <c r="B70">
        <v>4</v>
      </c>
      <c r="C70">
        <v>668</v>
      </c>
      <c r="D70">
        <v>45</v>
      </c>
      <c r="E70">
        <v>3</v>
      </c>
      <c r="F70">
        <v>49</v>
      </c>
      <c r="G70">
        <v>6</v>
      </c>
      <c r="H70">
        <v>22</v>
      </c>
      <c r="I70">
        <v>61</v>
      </c>
      <c r="J70">
        <v>12</v>
      </c>
      <c r="K70">
        <v>4</v>
      </c>
      <c r="L70">
        <v>1010</v>
      </c>
      <c r="M70">
        <v>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96BF-A33A-944F-9708-FFC276176392}">
  <dimension ref="A1:P70"/>
  <sheetViews>
    <sheetView zoomScale="65" workbookViewId="0">
      <selection activeCell="C11" sqref="C11:C61"/>
    </sheetView>
  </sheetViews>
  <sheetFormatPr baseColWidth="10" defaultRowHeight="16" x14ac:dyDescent="0.2"/>
  <sheetData>
    <row r="1" spans="1:16" x14ac:dyDescent="0.2">
      <c r="B1" t="s">
        <v>0</v>
      </c>
      <c r="C1" t="s">
        <v>1</v>
      </c>
      <c r="D1" t="s">
        <v>93</v>
      </c>
      <c r="E1" t="s">
        <v>83</v>
      </c>
      <c r="G1" t="s">
        <v>86</v>
      </c>
      <c r="I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81</v>
      </c>
      <c r="P1" t="s">
        <v>92</v>
      </c>
    </row>
    <row r="2" spans="1:16" x14ac:dyDescent="0.2">
      <c r="A2" t="s">
        <v>29</v>
      </c>
      <c r="B2">
        <v>6</v>
      </c>
      <c r="D2">
        <v>0.22800000000000001</v>
      </c>
    </row>
    <row r="3" spans="1:16" x14ac:dyDescent="0.2">
      <c r="A3" t="s">
        <v>30</v>
      </c>
      <c r="B3">
        <v>6</v>
      </c>
      <c r="D3">
        <v>0.23100000000000001</v>
      </c>
    </row>
    <row r="4" spans="1:16" x14ac:dyDescent="0.2">
      <c r="A4" t="s">
        <v>31</v>
      </c>
      <c r="B4">
        <v>6</v>
      </c>
      <c r="D4">
        <v>0.108</v>
      </c>
    </row>
    <row r="5" spans="1:16" x14ac:dyDescent="0.2">
      <c r="A5" t="s">
        <v>32</v>
      </c>
      <c r="B5">
        <v>1</v>
      </c>
      <c r="D5">
        <v>5.0000000000000001E-3</v>
      </c>
    </row>
    <row r="6" spans="1:16" x14ac:dyDescent="0.2">
      <c r="A6" t="s">
        <v>33</v>
      </c>
      <c r="B6">
        <v>0</v>
      </c>
      <c r="D6">
        <v>1E-3</v>
      </c>
    </row>
    <row r="7" spans="1:16" x14ac:dyDescent="0.2">
      <c r="A7" t="s">
        <v>34</v>
      </c>
      <c r="B7">
        <v>4</v>
      </c>
      <c r="D7">
        <v>0</v>
      </c>
    </row>
    <row r="8" spans="1:16" x14ac:dyDescent="0.2">
      <c r="A8" t="s">
        <v>35</v>
      </c>
      <c r="B8">
        <v>3</v>
      </c>
      <c r="D8">
        <v>1E-3</v>
      </c>
    </row>
    <row r="9" spans="1:16" x14ac:dyDescent="0.2">
      <c r="A9" t="s">
        <v>36</v>
      </c>
      <c r="B9">
        <v>1</v>
      </c>
    </row>
    <row r="10" spans="1:16" x14ac:dyDescent="0.2">
      <c r="A10" t="s">
        <v>37</v>
      </c>
      <c r="B10">
        <v>2</v>
      </c>
    </row>
    <row r="11" spans="1:16" x14ac:dyDescent="0.2">
      <c r="A11" t="s">
        <v>38</v>
      </c>
      <c r="B11">
        <v>0</v>
      </c>
      <c r="C11">
        <v>0</v>
      </c>
      <c r="D11">
        <v>2E-3</v>
      </c>
      <c r="E11">
        <v>8.4245998315080027E-3</v>
      </c>
      <c r="F11">
        <f>E11*100</f>
        <v>0.84245998315080028</v>
      </c>
      <c r="G11">
        <v>2.527379949452401E-3</v>
      </c>
      <c r="H11">
        <f>G11*100</f>
        <v>0.25273799494524007</v>
      </c>
      <c r="I11">
        <v>8.4245998315080029E-4</v>
      </c>
      <c r="J11">
        <f>I11*100</f>
        <v>8.4245998315080034E-2</v>
      </c>
      <c r="K11">
        <v>0</v>
      </c>
      <c r="L11">
        <v>8.4245998315080029E-4</v>
      </c>
      <c r="M11">
        <v>1.6849199663016006E-3</v>
      </c>
      <c r="N11">
        <v>8.4245998315080029E-4</v>
      </c>
      <c r="O11">
        <v>0.17101937657961247</v>
      </c>
      <c r="P11">
        <v>8.4245998315080029E-4</v>
      </c>
    </row>
    <row r="12" spans="1:16" x14ac:dyDescent="0.2">
      <c r="A12" t="s">
        <v>39</v>
      </c>
      <c r="B12">
        <v>2</v>
      </c>
      <c r="C12">
        <v>0</v>
      </c>
      <c r="D12">
        <v>1E-3</v>
      </c>
      <c r="E12">
        <v>1.8751674256630056E-3</v>
      </c>
      <c r="F12">
        <f t="shared" ref="F12:F70" si="0">E12*100</f>
        <v>0.18751674256630055</v>
      </c>
      <c r="G12">
        <v>1.8751674256630056E-3</v>
      </c>
      <c r="H12">
        <f t="shared" ref="H12:H70" si="1">G12*100</f>
        <v>0.18751674256630055</v>
      </c>
      <c r="I12">
        <v>0</v>
      </c>
      <c r="J12">
        <f t="shared" ref="J12:J70" si="2">I12*100</f>
        <v>0</v>
      </c>
      <c r="K12">
        <v>2.6788106080900083E-4</v>
      </c>
      <c r="L12">
        <v>2.6788106080900083E-4</v>
      </c>
      <c r="M12">
        <v>1.3394053040450039E-3</v>
      </c>
      <c r="N12">
        <v>0</v>
      </c>
      <c r="O12">
        <v>8.2239485668363241E-2</v>
      </c>
      <c r="P12">
        <v>1.3394053040450039E-3</v>
      </c>
    </row>
    <row r="13" spans="1:16" x14ac:dyDescent="0.2">
      <c r="A13" t="s">
        <v>40</v>
      </c>
      <c r="B13">
        <v>1</v>
      </c>
      <c r="C13">
        <v>170</v>
      </c>
      <c r="D13">
        <v>2E-3</v>
      </c>
      <c r="E13">
        <v>3.6418816388467377E-3</v>
      </c>
      <c r="F13">
        <f t="shared" si="0"/>
        <v>0.36418816388467379</v>
      </c>
      <c r="G13">
        <v>3.338391502276176E-3</v>
      </c>
      <c r="H13">
        <f t="shared" si="1"/>
        <v>0.33383915022761762</v>
      </c>
      <c r="I13">
        <v>6.0698027314112291E-4</v>
      </c>
      <c r="J13">
        <f t="shared" si="2"/>
        <v>6.0698027314112293E-2</v>
      </c>
      <c r="K13">
        <v>0</v>
      </c>
      <c r="L13">
        <v>9.1047040971168442E-4</v>
      </c>
      <c r="M13">
        <v>3.0349013657056146E-4</v>
      </c>
      <c r="N13">
        <v>6.0698027314112291E-4</v>
      </c>
      <c r="O13">
        <v>4.6130500758725344E-2</v>
      </c>
      <c r="P13">
        <v>1.2139605462822458E-3</v>
      </c>
    </row>
    <row r="14" spans="1:16" x14ac:dyDescent="0.2">
      <c r="A14" t="s">
        <v>41</v>
      </c>
      <c r="B14">
        <v>1</v>
      </c>
      <c r="C14">
        <v>525</v>
      </c>
      <c r="D14">
        <v>2E-3</v>
      </c>
      <c r="E14">
        <v>2.8653295128939826E-4</v>
      </c>
      <c r="F14">
        <f t="shared" si="0"/>
        <v>2.8653295128939826E-2</v>
      </c>
      <c r="G14">
        <v>1.4326647564469914E-3</v>
      </c>
      <c r="H14">
        <f t="shared" si="1"/>
        <v>0.14326647564469913</v>
      </c>
      <c r="I14">
        <v>2.0057306590257878E-3</v>
      </c>
      <c r="J14">
        <f t="shared" si="2"/>
        <v>0.20057306590257878</v>
      </c>
      <c r="K14">
        <v>0</v>
      </c>
      <c r="L14">
        <v>0</v>
      </c>
      <c r="M14">
        <v>0</v>
      </c>
      <c r="N14">
        <v>0</v>
      </c>
      <c r="O14">
        <v>4.0974212034383957E-2</v>
      </c>
      <c r="P14">
        <v>1.7191977077363897E-3</v>
      </c>
    </row>
    <row r="15" spans="1:16" x14ac:dyDescent="0.2">
      <c r="A15" t="s">
        <v>42</v>
      </c>
      <c r="B15">
        <v>1</v>
      </c>
      <c r="C15">
        <v>784</v>
      </c>
      <c r="D15">
        <v>1E-3</v>
      </c>
      <c r="E15">
        <v>0</v>
      </c>
      <c r="F15">
        <f t="shared" si="0"/>
        <v>0</v>
      </c>
      <c r="G15">
        <v>2.6304252520824201E-3</v>
      </c>
      <c r="H15">
        <f t="shared" si="1"/>
        <v>0.26304252520824201</v>
      </c>
      <c r="I15">
        <v>3.0688294607628232E-3</v>
      </c>
      <c r="J15">
        <f t="shared" si="2"/>
        <v>0.3068829460762823</v>
      </c>
      <c r="K15">
        <v>0</v>
      </c>
      <c r="L15">
        <v>0</v>
      </c>
      <c r="M15">
        <v>0</v>
      </c>
      <c r="N15">
        <v>4.3840420868040335E-4</v>
      </c>
      <c r="O15">
        <v>6.7075843928101717E-2</v>
      </c>
      <c r="P15">
        <v>1.7536168347216134E-3</v>
      </c>
    </row>
    <row r="16" spans="1:16" x14ac:dyDescent="0.2">
      <c r="A16" t="s">
        <v>43</v>
      </c>
      <c r="B16">
        <v>1</v>
      </c>
      <c r="C16">
        <v>646</v>
      </c>
      <c r="D16">
        <v>0</v>
      </c>
      <c r="E16">
        <v>0</v>
      </c>
      <c r="F16">
        <f t="shared" si="0"/>
        <v>0</v>
      </c>
      <c r="G16">
        <v>3.0120481927710845E-3</v>
      </c>
      <c r="H16">
        <f t="shared" si="1"/>
        <v>0.30120481927710846</v>
      </c>
      <c r="I16">
        <v>1.5060240963855422E-3</v>
      </c>
      <c r="J16">
        <f t="shared" si="2"/>
        <v>0.15060240963855423</v>
      </c>
      <c r="K16">
        <v>0</v>
      </c>
      <c r="L16">
        <v>0</v>
      </c>
      <c r="M16">
        <v>0</v>
      </c>
      <c r="N16">
        <v>0</v>
      </c>
      <c r="O16">
        <v>5.923694779116466E-2</v>
      </c>
      <c r="P16">
        <v>4.0160642570281121E-3</v>
      </c>
    </row>
    <row r="17" spans="1:16" x14ac:dyDescent="0.2">
      <c r="A17" t="s">
        <v>44</v>
      </c>
      <c r="B17">
        <v>2</v>
      </c>
      <c r="C17">
        <v>1548</v>
      </c>
      <c r="D17">
        <v>4.0000000000000001E-3</v>
      </c>
      <c r="E17">
        <v>8.9806915132465196E-4</v>
      </c>
      <c r="F17">
        <f t="shared" si="0"/>
        <v>8.9806915132465193E-2</v>
      </c>
      <c r="G17">
        <v>6.7355186349348896E-3</v>
      </c>
      <c r="H17">
        <f t="shared" si="1"/>
        <v>0.67355186349348894</v>
      </c>
      <c r="I17">
        <v>1.7961383026493039E-3</v>
      </c>
      <c r="J17">
        <f t="shared" si="2"/>
        <v>0.17961383026493039</v>
      </c>
      <c r="K17">
        <v>0</v>
      </c>
      <c r="L17">
        <v>0</v>
      </c>
      <c r="M17">
        <v>8.9806915132465196E-4</v>
      </c>
      <c r="N17">
        <v>0</v>
      </c>
      <c r="O17">
        <v>6.3313875168387962E-2</v>
      </c>
      <c r="P17">
        <v>1.1225864391558151E-2</v>
      </c>
    </row>
    <row r="18" spans="1:16" x14ac:dyDescent="0.2">
      <c r="A18" t="s">
        <v>45</v>
      </c>
      <c r="B18">
        <v>1</v>
      </c>
      <c r="C18">
        <v>1208</v>
      </c>
      <c r="D18">
        <v>2E-3</v>
      </c>
      <c r="E18">
        <v>3.8328861632809508E-4</v>
      </c>
      <c r="F18">
        <f t="shared" si="0"/>
        <v>3.8328861632809505E-2</v>
      </c>
      <c r="G18">
        <v>6.1326178612495213E-3</v>
      </c>
      <c r="H18">
        <f t="shared" si="1"/>
        <v>0.61326178612495208</v>
      </c>
      <c r="I18">
        <v>2.6830203142966655E-3</v>
      </c>
      <c r="J18">
        <f t="shared" si="2"/>
        <v>0.26830203142966652</v>
      </c>
      <c r="K18">
        <v>3.8328861632809508E-4</v>
      </c>
      <c r="L18">
        <v>0</v>
      </c>
      <c r="M18">
        <v>6.1326178612495213E-3</v>
      </c>
      <c r="N18">
        <v>3.8328861632809508E-4</v>
      </c>
      <c r="O18">
        <v>7.2441548486009963E-2</v>
      </c>
      <c r="P18">
        <v>1.3031812955155231E-2</v>
      </c>
    </row>
    <row r="19" spans="1:16" x14ac:dyDescent="0.2">
      <c r="A19" t="s">
        <v>46</v>
      </c>
      <c r="B19">
        <v>6</v>
      </c>
      <c r="C19">
        <v>1674</v>
      </c>
      <c r="D19">
        <v>1E-3</v>
      </c>
      <c r="E19">
        <v>6.4635272391505077E-3</v>
      </c>
      <c r="F19">
        <f t="shared" si="0"/>
        <v>0.64635272391505072</v>
      </c>
      <c r="G19">
        <v>1.662049861495845E-2</v>
      </c>
      <c r="H19">
        <f t="shared" si="1"/>
        <v>1.662049861495845</v>
      </c>
      <c r="I19">
        <v>0</v>
      </c>
      <c r="J19">
        <f t="shared" si="2"/>
        <v>0</v>
      </c>
      <c r="K19">
        <v>0</v>
      </c>
      <c r="L19">
        <v>5.5401662049861496E-3</v>
      </c>
      <c r="M19">
        <v>6.2326869806094184E-2</v>
      </c>
      <c r="N19">
        <v>0</v>
      </c>
      <c r="O19">
        <v>0.14312096029547552</v>
      </c>
      <c r="P19">
        <v>3.5549399815327794E-2</v>
      </c>
    </row>
    <row r="20" spans="1:16" x14ac:dyDescent="0.2">
      <c r="A20" t="s">
        <v>47</v>
      </c>
      <c r="B20">
        <v>4</v>
      </c>
      <c r="C20">
        <v>5703</v>
      </c>
      <c r="D20">
        <v>1E-3</v>
      </c>
      <c r="E20">
        <v>2.7692307692307693E-2</v>
      </c>
      <c r="F20">
        <f t="shared" si="0"/>
        <v>2.7692307692307692</v>
      </c>
      <c r="G20">
        <v>1.8974358974358976E-2</v>
      </c>
      <c r="H20">
        <f t="shared" si="1"/>
        <v>1.8974358974358976</v>
      </c>
      <c r="I20">
        <v>0</v>
      </c>
      <c r="J20">
        <f t="shared" si="2"/>
        <v>0</v>
      </c>
      <c r="K20">
        <v>0</v>
      </c>
      <c r="L20">
        <v>6.1538461538461538E-3</v>
      </c>
      <c r="M20">
        <v>0.10666666666666667</v>
      </c>
      <c r="N20">
        <v>5.1282051282051282E-4</v>
      </c>
      <c r="O20">
        <v>0.14410256410256411</v>
      </c>
      <c r="P20">
        <v>3.0769230769230771E-2</v>
      </c>
    </row>
    <row r="21" spans="1:16" x14ac:dyDescent="0.2">
      <c r="A21" t="s">
        <v>48</v>
      </c>
      <c r="B21">
        <v>2</v>
      </c>
      <c r="C21">
        <v>15545</v>
      </c>
      <c r="D21">
        <v>0</v>
      </c>
      <c r="E21">
        <v>9.7022767075306479E-2</v>
      </c>
      <c r="F21">
        <f t="shared" si="0"/>
        <v>9.7022767075306486</v>
      </c>
      <c r="G21">
        <v>2.1015761821366025E-2</v>
      </c>
      <c r="H21">
        <f t="shared" si="1"/>
        <v>2.1015761821366024</v>
      </c>
      <c r="I21">
        <v>7.0052539404553418E-4</v>
      </c>
      <c r="J21">
        <f t="shared" si="2"/>
        <v>7.0052539404553416E-2</v>
      </c>
      <c r="K21">
        <v>3.5026269702276709E-4</v>
      </c>
      <c r="L21">
        <v>1.0157618213660246E-2</v>
      </c>
      <c r="M21">
        <v>6.5849387040280205E-2</v>
      </c>
      <c r="N21">
        <v>7.0052539404553418E-4</v>
      </c>
      <c r="O21">
        <v>0.19264448336252188</v>
      </c>
      <c r="P21">
        <v>2.1015761821366025E-2</v>
      </c>
    </row>
    <row r="22" spans="1:16" x14ac:dyDescent="0.2">
      <c r="A22" t="s">
        <v>49</v>
      </c>
      <c r="B22">
        <v>3</v>
      </c>
      <c r="C22">
        <v>10112</v>
      </c>
      <c r="D22">
        <v>0</v>
      </c>
      <c r="E22">
        <v>9.1226321036889338E-2</v>
      </c>
      <c r="F22">
        <f t="shared" si="0"/>
        <v>9.1226321036889342</v>
      </c>
      <c r="G22">
        <v>1.8444666001994018E-2</v>
      </c>
      <c r="H22">
        <f t="shared" si="1"/>
        <v>1.8444666001994019</v>
      </c>
      <c r="I22">
        <v>7.4775672981056834E-4</v>
      </c>
      <c r="J22">
        <f t="shared" si="2"/>
        <v>7.4775672981056834E-2</v>
      </c>
      <c r="K22">
        <v>0</v>
      </c>
      <c r="L22">
        <v>1.2213359920239282E-2</v>
      </c>
      <c r="M22">
        <v>3.7387836490528417E-2</v>
      </c>
      <c r="N22">
        <v>4.9850448654037887E-3</v>
      </c>
      <c r="O22">
        <v>0.2238285144566301</v>
      </c>
      <c r="P22">
        <v>1.4456630109670987E-2</v>
      </c>
    </row>
    <row r="23" spans="1:16" x14ac:dyDescent="0.2">
      <c r="A23" t="s">
        <v>50</v>
      </c>
      <c r="B23">
        <v>6</v>
      </c>
      <c r="C23">
        <v>7416</v>
      </c>
      <c r="D23">
        <v>1E-3</v>
      </c>
      <c r="E23">
        <v>0.15688161693936478</v>
      </c>
      <c r="F23">
        <f t="shared" si="0"/>
        <v>15.688161693936479</v>
      </c>
      <c r="G23">
        <v>1.2787020486731748E-2</v>
      </c>
      <c r="H23">
        <f t="shared" si="1"/>
        <v>1.2787020486731748</v>
      </c>
      <c r="I23">
        <v>1.237453595490169E-3</v>
      </c>
      <c r="J23">
        <f t="shared" si="2"/>
        <v>0.1237453595490169</v>
      </c>
      <c r="K23">
        <v>1.7874329712635776E-3</v>
      </c>
      <c r="L23">
        <v>7.0122370411109585E-3</v>
      </c>
      <c r="M23">
        <v>1.4986937989825382E-2</v>
      </c>
      <c r="N23">
        <v>6.5997525092809017E-3</v>
      </c>
      <c r="O23">
        <v>8.6209267152481783E-2</v>
      </c>
      <c r="P23">
        <v>6.0497731335074937E-3</v>
      </c>
    </row>
    <row r="24" spans="1:16" x14ac:dyDescent="0.2">
      <c r="A24" t="s">
        <v>51</v>
      </c>
      <c r="B24">
        <v>5</v>
      </c>
      <c r="C24">
        <v>4966</v>
      </c>
      <c r="D24">
        <v>4.0000000000000001E-3</v>
      </c>
      <c r="E24">
        <v>0.17016376663254862</v>
      </c>
      <c r="F24">
        <f t="shared" si="0"/>
        <v>17.01637666325486</v>
      </c>
      <c r="G24">
        <v>8.5721596724667344E-3</v>
      </c>
      <c r="H24">
        <f t="shared" si="1"/>
        <v>0.85721596724667348</v>
      </c>
      <c r="I24">
        <v>1.4073694984646878E-3</v>
      </c>
      <c r="J24">
        <f t="shared" si="2"/>
        <v>0.14073694984646878</v>
      </c>
      <c r="K24">
        <v>0</v>
      </c>
      <c r="L24">
        <v>7.6765609007164786E-3</v>
      </c>
      <c r="M24">
        <v>9.8515864892528143E-3</v>
      </c>
      <c r="N24">
        <v>3.7103377686796314E-3</v>
      </c>
      <c r="O24">
        <v>6.6018423746161722E-2</v>
      </c>
      <c r="P24">
        <v>8.1883316274309111E-3</v>
      </c>
    </row>
    <row r="25" spans="1:16" x14ac:dyDescent="0.2">
      <c r="A25" t="s">
        <v>52</v>
      </c>
      <c r="B25">
        <v>1</v>
      </c>
      <c r="C25">
        <v>5503</v>
      </c>
      <c r="D25">
        <v>2.5000000000000001E-2</v>
      </c>
      <c r="E25">
        <v>0.17090663058186739</v>
      </c>
      <c r="F25">
        <f t="shared" si="0"/>
        <v>17.090663058186738</v>
      </c>
      <c r="G25">
        <v>1.3937753721244926E-2</v>
      </c>
      <c r="H25">
        <f t="shared" si="1"/>
        <v>1.3937753721244925</v>
      </c>
      <c r="I25">
        <v>5.4127198917456026E-3</v>
      </c>
      <c r="J25">
        <f t="shared" si="2"/>
        <v>0.54127198917456021</v>
      </c>
      <c r="K25">
        <v>1.3531799729364006E-4</v>
      </c>
      <c r="L25">
        <v>4.3301759133964821E-3</v>
      </c>
      <c r="M25">
        <v>1.3802435723951286E-2</v>
      </c>
      <c r="N25">
        <v>4.6008119079837618E-3</v>
      </c>
      <c r="O25">
        <v>5.5074424898511505E-2</v>
      </c>
      <c r="P25">
        <v>1.4884979702300407E-2</v>
      </c>
    </row>
    <row r="26" spans="1:16" x14ac:dyDescent="0.2">
      <c r="A26" t="s">
        <v>53</v>
      </c>
      <c r="B26">
        <v>1</v>
      </c>
      <c r="C26">
        <v>10152</v>
      </c>
      <c r="D26">
        <v>4.8000000000000001E-2</v>
      </c>
      <c r="E26">
        <v>9.8963954241312324E-2</v>
      </c>
      <c r="F26">
        <f t="shared" si="0"/>
        <v>9.8963954241312315</v>
      </c>
      <c r="G26">
        <v>1.0900064752859918E-2</v>
      </c>
      <c r="H26">
        <f t="shared" si="1"/>
        <v>1.0900064752859917</v>
      </c>
      <c r="I26">
        <v>1.2626807684006043E-2</v>
      </c>
      <c r="J26">
        <f t="shared" si="2"/>
        <v>1.2626807684006043</v>
      </c>
      <c r="K26">
        <v>0</v>
      </c>
      <c r="L26">
        <v>2.9138786963090872E-3</v>
      </c>
      <c r="M26">
        <v>6.5832074249946035E-3</v>
      </c>
      <c r="N26">
        <v>2.8059572631124541E-3</v>
      </c>
      <c r="O26">
        <v>3.1620979926613425E-2</v>
      </c>
      <c r="P26">
        <v>1.2410964817612778E-2</v>
      </c>
    </row>
    <row r="27" spans="1:16" x14ac:dyDescent="0.2">
      <c r="A27" t="s">
        <v>54</v>
      </c>
      <c r="B27">
        <v>0</v>
      </c>
      <c r="C27">
        <v>5667</v>
      </c>
      <c r="D27">
        <v>2.1999999999999999E-2</v>
      </c>
      <c r="E27">
        <v>3.1949374903534493E-2</v>
      </c>
      <c r="F27">
        <f t="shared" si="0"/>
        <v>3.1949374903534493</v>
      </c>
      <c r="G27">
        <v>1.219323969748418E-2</v>
      </c>
      <c r="H27">
        <f t="shared" si="1"/>
        <v>1.2193239697484179</v>
      </c>
      <c r="I27">
        <v>1.9138755980861243E-2</v>
      </c>
      <c r="J27">
        <f t="shared" si="2"/>
        <v>1.9138755980861244</v>
      </c>
      <c r="K27">
        <v>0</v>
      </c>
      <c r="L27">
        <v>1.697792869269949E-3</v>
      </c>
      <c r="M27">
        <v>3.3955857385398981E-3</v>
      </c>
      <c r="N27">
        <v>1.389103256675413E-3</v>
      </c>
      <c r="O27">
        <v>3.1949374903534493E-2</v>
      </c>
      <c r="P27">
        <v>7.5628955085661372E-3</v>
      </c>
    </row>
    <row r="28" spans="1:16" x14ac:dyDescent="0.2">
      <c r="A28" t="s">
        <v>55</v>
      </c>
      <c r="B28">
        <v>6</v>
      </c>
      <c r="C28">
        <v>1654</v>
      </c>
      <c r="D28">
        <v>0.06</v>
      </c>
      <c r="E28">
        <v>3.0401529636711281E-2</v>
      </c>
      <c r="F28">
        <f t="shared" si="0"/>
        <v>3.0401529636711282</v>
      </c>
      <c r="G28">
        <v>9.7514340344168268E-3</v>
      </c>
      <c r="H28">
        <f t="shared" si="1"/>
        <v>0.97514340344168271</v>
      </c>
      <c r="I28">
        <v>2.6959847036328873E-2</v>
      </c>
      <c r="J28">
        <f t="shared" si="2"/>
        <v>2.6959847036328872</v>
      </c>
      <c r="K28">
        <v>0</v>
      </c>
      <c r="L28">
        <v>7.6481835564053537E-4</v>
      </c>
      <c r="M28">
        <v>1.3384321223709368E-3</v>
      </c>
      <c r="N28">
        <v>3.0592734225621415E-3</v>
      </c>
      <c r="O28">
        <v>4.8565965583173998E-2</v>
      </c>
      <c r="P28">
        <v>1.24282982791587E-2</v>
      </c>
    </row>
    <row r="29" spans="1:16" x14ac:dyDescent="0.2">
      <c r="A29" t="s">
        <v>56</v>
      </c>
      <c r="B29">
        <v>12</v>
      </c>
      <c r="C29">
        <v>3093</v>
      </c>
      <c r="D29">
        <v>0.154</v>
      </c>
      <c r="E29">
        <v>1.7570664629488159E-2</v>
      </c>
      <c r="F29">
        <f t="shared" si="0"/>
        <v>1.757066462948816</v>
      </c>
      <c r="G29">
        <v>9.3582887700534752E-3</v>
      </c>
      <c r="H29">
        <f t="shared" si="1"/>
        <v>0.93582887700534756</v>
      </c>
      <c r="I29">
        <v>2.5401069518716578E-2</v>
      </c>
      <c r="J29">
        <f t="shared" si="2"/>
        <v>2.5401069518716577</v>
      </c>
      <c r="K29">
        <v>1.9098548510313216E-4</v>
      </c>
      <c r="L29">
        <v>5.7295645530939653E-4</v>
      </c>
      <c r="M29">
        <v>3.8197097020626434E-3</v>
      </c>
      <c r="N29">
        <v>5.7295645530939653E-4</v>
      </c>
      <c r="O29">
        <v>3.7051184110007643E-2</v>
      </c>
      <c r="P29">
        <v>1.4705882352941176E-2</v>
      </c>
    </row>
    <row r="30" spans="1:16" x14ac:dyDescent="0.2">
      <c r="A30" t="s">
        <v>57</v>
      </c>
      <c r="B30">
        <v>8</v>
      </c>
      <c r="C30">
        <v>9702</v>
      </c>
      <c r="D30">
        <v>0.14699999999999999</v>
      </c>
      <c r="E30">
        <v>1.9455252918287938E-2</v>
      </c>
      <c r="F30">
        <f t="shared" si="0"/>
        <v>1.9455252918287937</v>
      </c>
      <c r="G30">
        <v>9.4941634241245132E-3</v>
      </c>
      <c r="H30">
        <f t="shared" si="1"/>
        <v>0.94941634241245132</v>
      </c>
      <c r="I30">
        <v>1.8521400778210118E-2</v>
      </c>
      <c r="J30">
        <f t="shared" si="2"/>
        <v>1.8521400778210118</v>
      </c>
      <c r="K30">
        <v>4.6692607003891048E-4</v>
      </c>
      <c r="L30">
        <v>3.1128404669260703E-4</v>
      </c>
      <c r="M30">
        <v>1.7898832684824902E-2</v>
      </c>
      <c r="N30">
        <v>2.4902723735408562E-3</v>
      </c>
      <c r="O30">
        <v>3.6887159533073928E-2</v>
      </c>
      <c r="P30">
        <v>1.4630350194552529E-2</v>
      </c>
    </row>
    <row r="31" spans="1:16" x14ac:dyDescent="0.2">
      <c r="A31" t="s">
        <v>58</v>
      </c>
      <c r="B31">
        <v>5</v>
      </c>
      <c r="C31">
        <v>13058</v>
      </c>
      <c r="D31">
        <v>0.05</v>
      </c>
      <c r="E31">
        <v>1.7037302725968435E-2</v>
      </c>
      <c r="F31">
        <f t="shared" si="0"/>
        <v>1.7037302725968435</v>
      </c>
      <c r="G31">
        <v>1.129842180774749E-2</v>
      </c>
      <c r="H31">
        <f t="shared" si="1"/>
        <v>1.129842180774749</v>
      </c>
      <c r="I31">
        <v>8.2496413199426109E-3</v>
      </c>
      <c r="J31">
        <f t="shared" si="2"/>
        <v>0.82496413199426111</v>
      </c>
      <c r="K31">
        <v>8.9670014347202295E-4</v>
      </c>
      <c r="L31">
        <v>5.3802008608321375E-4</v>
      </c>
      <c r="M31">
        <v>2.9949784791965566E-2</v>
      </c>
      <c r="N31">
        <v>4.1248206599713054E-3</v>
      </c>
      <c r="O31">
        <v>3.9454806312769007E-2</v>
      </c>
      <c r="P31">
        <v>1.3091822094691535E-2</v>
      </c>
    </row>
    <row r="32" spans="1:16" x14ac:dyDescent="0.2">
      <c r="A32" t="s">
        <v>59</v>
      </c>
      <c r="B32">
        <v>3</v>
      </c>
      <c r="C32">
        <v>15899</v>
      </c>
      <c r="D32">
        <v>4.0000000000000001E-3</v>
      </c>
      <c r="E32">
        <v>1.532567049808429E-2</v>
      </c>
      <c r="F32">
        <f t="shared" si="0"/>
        <v>1.5325670498084289</v>
      </c>
      <c r="G32">
        <v>1.0592742844264142E-2</v>
      </c>
      <c r="H32">
        <f t="shared" si="1"/>
        <v>1.0592742844264142</v>
      </c>
      <c r="I32">
        <v>2.4791525805724587E-3</v>
      </c>
      <c r="J32">
        <f t="shared" si="2"/>
        <v>0.24791525805724587</v>
      </c>
      <c r="K32">
        <v>2.2537750732476899E-4</v>
      </c>
      <c r="L32">
        <v>6.7613252197430695E-4</v>
      </c>
      <c r="M32">
        <v>9.2404778003155278E-3</v>
      </c>
      <c r="N32">
        <v>2.9299075952219969E-3</v>
      </c>
      <c r="O32">
        <v>3.1327473518142891E-2</v>
      </c>
      <c r="P32">
        <v>2.9299075952219969E-3</v>
      </c>
    </row>
    <row r="33" spans="1:16" x14ac:dyDescent="0.2">
      <c r="A33" t="s">
        <v>60</v>
      </c>
      <c r="B33">
        <v>3</v>
      </c>
      <c r="C33">
        <v>19892</v>
      </c>
      <c r="D33">
        <v>3.0000000000000001E-3</v>
      </c>
      <c r="E33">
        <v>2.3993808049535603E-2</v>
      </c>
      <c r="F33">
        <f t="shared" si="0"/>
        <v>2.3993808049535605</v>
      </c>
      <c r="G33">
        <v>7.9979360165118672E-3</v>
      </c>
      <c r="H33">
        <f t="shared" si="1"/>
        <v>0.79979360165118674</v>
      </c>
      <c r="I33">
        <v>2.5799793601651185E-4</v>
      </c>
      <c r="J33">
        <f t="shared" si="2"/>
        <v>2.5799793601651185E-2</v>
      </c>
      <c r="K33">
        <v>5.1599587203302369E-4</v>
      </c>
      <c r="L33">
        <v>5.1599587203302369E-4</v>
      </c>
      <c r="M33">
        <v>3.3539731682146541E-3</v>
      </c>
      <c r="N33">
        <v>2.0639834881320948E-3</v>
      </c>
      <c r="O33">
        <v>4.6697626418988648E-2</v>
      </c>
      <c r="P33">
        <v>7.7399380804953565E-4</v>
      </c>
    </row>
    <row r="34" spans="1:16" x14ac:dyDescent="0.2">
      <c r="A34" t="s">
        <v>61</v>
      </c>
      <c r="B34">
        <v>5</v>
      </c>
      <c r="C34">
        <v>22346</v>
      </c>
      <c r="D34">
        <v>3.0000000000000001E-3</v>
      </c>
      <c r="E34">
        <v>2.7948463825569873E-2</v>
      </c>
      <c r="F34">
        <f t="shared" si="0"/>
        <v>2.7948463825569871</v>
      </c>
      <c r="G34">
        <v>1.1298315163528246E-2</v>
      </c>
      <c r="H34">
        <f t="shared" si="1"/>
        <v>1.1298315163528245</v>
      </c>
      <c r="I34">
        <v>1.1892963330029733E-3</v>
      </c>
      <c r="J34">
        <f t="shared" si="2"/>
        <v>0.11892963330029734</v>
      </c>
      <c r="K34">
        <v>1.7839444995044599E-3</v>
      </c>
      <c r="L34">
        <v>3.9643211100099106E-4</v>
      </c>
      <c r="M34">
        <v>1.1892963330029733E-3</v>
      </c>
      <c r="N34">
        <v>7.1357779980178396E-3</v>
      </c>
      <c r="O34">
        <v>0.13042616451932607</v>
      </c>
      <c r="P34">
        <v>1.1892963330029733E-3</v>
      </c>
    </row>
    <row r="35" spans="1:16" x14ac:dyDescent="0.2">
      <c r="A35" t="s">
        <v>62</v>
      </c>
      <c r="B35">
        <v>5</v>
      </c>
      <c r="C35">
        <v>73785</v>
      </c>
      <c r="D35">
        <v>7.0000000000000001E-3</v>
      </c>
      <c r="E35">
        <v>9.8247809762202751E-2</v>
      </c>
      <c r="F35">
        <f t="shared" si="0"/>
        <v>9.8247809762202749</v>
      </c>
      <c r="G35">
        <v>1.6699410609037329E-2</v>
      </c>
      <c r="H35">
        <f t="shared" si="1"/>
        <v>1.6699410609037328</v>
      </c>
      <c r="I35">
        <v>6.1394891944990175E-4</v>
      </c>
      <c r="J35">
        <f t="shared" si="2"/>
        <v>6.1394891944990176E-2</v>
      </c>
      <c r="K35">
        <v>6.7534381139489194E-3</v>
      </c>
      <c r="L35">
        <v>4.1748526522593322E-3</v>
      </c>
      <c r="M35">
        <v>4.911591355599214E-3</v>
      </c>
      <c r="N35">
        <v>1.4611984282907662E-2</v>
      </c>
      <c r="O35">
        <v>0.12340373280943026</v>
      </c>
      <c r="P35">
        <v>2.455795677799607E-3</v>
      </c>
    </row>
    <row r="36" spans="1:16" x14ac:dyDescent="0.2">
      <c r="A36" t="s">
        <v>63</v>
      </c>
      <c r="B36">
        <v>11</v>
      </c>
      <c r="C36">
        <v>7200</v>
      </c>
      <c r="D36">
        <v>0.108</v>
      </c>
      <c r="E36">
        <v>0.20489520738678002</v>
      </c>
      <c r="F36">
        <f t="shared" si="0"/>
        <v>20.489520738678003</v>
      </c>
      <c r="G36">
        <v>1.5395718065912918E-2</v>
      </c>
      <c r="H36">
        <f t="shared" si="1"/>
        <v>1.5395718065912918</v>
      </c>
      <c r="I36">
        <v>2.0848368214257075E-3</v>
      </c>
      <c r="J36">
        <f t="shared" si="2"/>
        <v>0.20848368214257074</v>
      </c>
      <c r="K36">
        <v>1.2589206960147542E-2</v>
      </c>
      <c r="L36">
        <v>2.004650789832411E-3</v>
      </c>
      <c r="M36">
        <v>3.367813326918451E-3</v>
      </c>
      <c r="N36">
        <v>1.2669392991740839E-2</v>
      </c>
      <c r="O36">
        <v>8.6761286183946754E-2</v>
      </c>
      <c r="P36">
        <v>3.2074412637318581E-3</v>
      </c>
    </row>
    <row r="37" spans="1:16" x14ac:dyDescent="0.2">
      <c r="A37" t="s">
        <v>64</v>
      </c>
      <c r="B37">
        <v>18</v>
      </c>
      <c r="C37">
        <v>1952</v>
      </c>
      <c r="D37">
        <v>0.218</v>
      </c>
      <c r="E37">
        <v>0.12490183479688727</v>
      </c>
      <c r="F37">
        <f t="shared" si="0"/>
        <v>12.490183479688726</v>
      </c>
      <c r="G37">
        <v>1.0268188880632304E-2</v>
      </c>
      <c r="H37">
        <f t="shared" si="1"/>
        <v>1.0268188880632305</v>
      </c>
      <c r="I37">
        <v>4.8638789434574071E-3</v>
      </c>
      <c r="J37">
        <f t="shared" si="2"/>
        <v>0.4863878943457407</v>
      </c>
      <c r="K37">
        <v>8.7820036479092072E-3</v>
      </c>
      <c r="L37">
        <v>8.7820036479092077E-4</v>
      </c>
      <c r="M37">
        <v>3.9856785786664866E-3</v>
      </c>
      <c r="N37">
        <v>5.7420793082483277E-3</v>
      </c>
      <c r="O37">
        <v>4.5328649598054452E-2</v>
      </c>
      <c r="P37">
        <v>1.4321421333513476E-2</v>
      </c>
    </row>
    <row r="38" spans="1:16" x14ac:dyDescent="0.2">
      <c r="A38" t="s">
        <v>65</v>
      </c>
      <c r="B38">
        <v>9</v>
      </c>
      <c r="C38">
        <v>2537</v>
      </c>
      <c r="D38">
        <v>0.129</v>
      </c>
      <c r="E38">
        <v>7.3803085732463816E-2</v>
      </c>
      <c r="F38">
        <f t="shared" si="0"/>
        <v>7.3803085732463813</v>
      </c>
      <c r="G38">
        <v>1.4540713999197754E-2</v>
      </c>
      <c r="H38">
        <f t="shared" si="1"/>
        <v>1.4540713999197754</v>
      </c>
      <c r="I38">
        <v>1.3337344564781388E-2</v>
      </c>
      <c r="J38">
        <f t="shared" si="2"/>
        <v>1.3337344564781388</v>
      </c>
      <c r="K38">
        <v>6.1171279582831932E-3</v>
      </c>
      <c r="L38">
        <v>1.0028078620136383E-3</v>
      </c>
      <c r="M38">
        <v>7.7216205375050138E-3</v>
      </c>
      <c r="N38">
        <v>2.8078620136381869E-3</v>
      </c>
      <c r="O38">
        <v>5.0742077817890092E-2</v>
      </c>
      <c r="P38">
        <v>2.7777777777777776E-2</v>
      </c>
    </row>
    <row r="39" spans="1:16" x14ac:dyDescent="0.2">
      <c r="A39" t="s">
        <v>66</v>
      </c>
      <c r="B39">
        <v>14</v>
      </c>
      <c r="C39">
        <v>6504</v>
      </c>
      <c r="D39">
        <v>2.3E-2</v>
      </c>
      <c r="E39">
        <v>3.5701809543771397E-2</v>
      </c>
      <c r="F39">
        <f t="shared" si="0"/>
        <v>3.5701809543771397</v>
      </c>
      <c r="G39">
        <v>2.0023252809714506E-2</v>
      </c>
      <c r="H39">
        <f t="shared" si="1"/>
        <v>2.0023252809714505</v>
      </c>
      <c r="I39">
        <v>2.622400206691642E-2</v>
      </c>
      <c r="J39">
        <f t="shared" si="2"/>
        <v>2.6224002066916419</v>
      </c>
      <c r="K39">
        <v>4.5213796667097272E-3</v>
      </c>
      <c r="L39">
        <v>1.291822761917065E-3</v>
      </c>
      <c r="M39">
        <v>1.5243508590621367E-2</v>
      </c>
      <c r="N39">
        <v>1.550187314300478E-3</v>
      </c>
      <c r="O39">
        <v>8.3322568143650688E-2</v>
      </c>
      <c r="P39">
        <v>4.2759333419454849E-2</v>
      </c>
    </row>
    <row r="40" spans="1:16" x14ac:dyDescent="0.2">
      <c r="A40" t="s">
        <v>67</v>
      </c>
      <c r="B40">
        <v>5</v>
      </c>
      <c r="C40">
        <v>6523</v>
      </c>
      <c r="D40">
        <v>1.2E-2</v>
      </c>
      <c r="E40">
        <v>1.5752271962302253E-2</v>
      </c>
      <c r="F40">
        <f t="shared" si="0"/>
        <v>1.5752271962302253</v>
      </c>
      <c r="G40">
        <v>2.5987896048415806E-2</v>
      </c>
      <c r="H40">
        <f t="shared" si="1"/>
        <v>2.5987896048415804</v>
      </c>
      <c r="I40">
        <v>6.7639729441082236E-2</v>
      </c>
      <c r="J40">
        <f t="shared" si="2"/>
        <v>6.7639729441082235</v>
      </c>
      <c r="K40">
        <v>5.5773110240892373E-3</v>
      </c>
      <c r="L40">
        <v>5.2213124480835413E-3</v>
      </c>
      <c r="M40">
        <v>3.2870535184525929E-2</v>
      </c>
      <c r="N40">
        <v>1.423994304022784E-3</v>
      </c>
      <c r="O40">
        <v>7.9031683873264508E-2</v>
      </c>
      <c r="P40">
        <v>5.3874451168861991E-2</v>
      </c>
    </row>
    <row r="41" spans="1:16" x14ac:dyDescent="0.2">
      <c r="A41" t="s">
        <v>68</v>
      </c>
      <c r="B41">
        <v>9</v>
      </c>
      <c r="C41">
        <v>6351</v>
      </c>
      <c r="D41">
        <v>1.6E-2</v>
      </c>
      <c r="E41">
        <v>7.8479246599232645E-3</v>
      </c>
      <c r="F41">
        <f t="shared" si="0"/>
        <v>0.78479246599232644</v>
      </c>
      <c r="G41">
        <v>2.894114373173786E-2</v>
      </c>
      <c r="H41">
        <f t="shared" si="1"/>
        <v>2.8941143731737862</v>
      </c>
      <c r="I41">
        <v>7.1518018644775291E-2</v>
      </c>
      <c r="J41">
        <f t="shared" si="2"/>
        <v>7.1518018644775294</v>
      </c>
      <c r="K41">
        <v>8.7658271879782947E-3</v>
      </c>
      <c r="L41">
        <v>9.1832475302629744E-3</v>
      </c>
      <c r="M41">
        <v>3.9794072631139557E-2</v>
      </c>
      <c r="N41">
        <v>6.9570057047446774E-4</v>
      </c>
      <c r="O41">
        <v>0.10602476694030889</v>
      </c>
      <c r="P41">
        <v>2.8384583275358286E-2</v>
      </c>
    </row>
    <row r="42" spans="1:16" x14ac:dyDescent="0.2">
      <c r="A42" t="s">
        <v>69</v>
      </c>
      <c r="B42">
        <v>6</v>
      </c>
      <c r="C42">
        <v>4578</v>
      </c>
      <c r="D42">
        <v>1.7000000000000001E-2</v>
      </c>
      <c r="E42">
        <v>3.3703657470977406E-3</v>
      </c>
      <c r="F42">
        <f t="shared" si="0"/>
        <v>0.33703657470977405</v>
      </c>
      <c r="G42">
        <v>3.416264389157074E-2</v>
      </c>
      <c r="H42">
        <f t="shared" si="1"/>
        <v>3.4162643891570741</v>
      </c>
      <c r="I42">
        <v>3.8989974006683997E-2</v>
      </c>
      <c r="J42">
        <f t="shared" si="2"/>
        <v>3.8989974006683998</v>
      </c>
      <c r="K42">
        <v>7.4266617155588563E-3</v>
      </c>
      <c r="L42">
        <v>1.2439658373561084E-2</v>
      </c>
      <c r="M42">
        <v>4.5302636464909021E-2</v>
      </c>
      <c r="N42">
        <v>1.2996658002227999E-3</v>
      </c>
      <c r="O42">
        <v>0.16078722614184923</v>
      </c>
      <c r="P42">
        <v>1.708132194578537E-2</v>
      </c>
    </row>
    <row r="43" spans="1:16" x14ac:dyDescent="0.2">
      <c r="A43" t="s">
        <v>70</v>
      </c>
      <c r="B43">
        <v>4</v>
      </c>
      <c r="C43">
        <v>2066</v>
      </c>
      <c r="D43">
        <v>0.01</v>
      </c>
      <c r="E43">
        <v>2.2557695644629533E-3</v>
      </c>
      <c r="F43">
        <f t="shared" si="0"/>
        <v>0.22557695644629533</v>
      </c>
      <c r="G43">
        <v>4.7350343473994111E-2</v>
      </c>
      <c r="H43">
        <f t="shared" si="1"/>
        <v>4.7350343473994112</v>
      </c>
      <c r="I43">
        <v>6.8694798822374874E-3</v>
      </c>
      <c r="J43">
        <f t="shared" si="2"/>
        <v>0.6869479882237487</v>
      </c>
      <c r="K43">
        <v>6.1334641805691854E-3</v>
      </c>
      <c r="L43">
        <v>1.8155053974484789E-2</v>
      </c>
      <c r="M43">
        <v>2.0117762512266928E-2</v>
      </c>
      <c r="N43">
        <v>2.944062806673209E-3</v>
      </c>
      <c r="O43">
        <v>0.15848871442590776</v>
      </c>
      <c r="P43">
        <v>6.8694798822374874E-3</v>
      </c>
    </row>
    <row r="44" spans="1:16" x14ac:dyDescent="0.2">
      <c r="A44" t="s">
        <v>71</v>
      </c>
      <c r="B44">
        <v>2</v>
      </c>
      <c r="C44">
        <v>2201</v>
      </c>
      <c r="D44">
        <v>0.01</v>
      </c>
      <c r="E44">
        <v>2.8735632183908046E-3</v>
      </c>
      <c r="F44">
        <f t="shared" si="0"/>
        <v>0.28735632183908044</v>
      </c>
      <c r="G44">
        <v>4.4794562866852024E-2</v>
      </c>
      <c r="H44">
        <f t="shared" si="1"/>
        <v>4.4794562866852026</v>
      </c>
      <c r="I44">
        <v>3.7071362372567192E-3</v>
      </c>
      <c r="J44">
        <f t="shared" si="2"/>
        <v>0.3707136237256719</v>
      </c>
      <c r="K44">
        <v>3.0892801977139327E-3</v>
      </c>
      <c r="L44">
        <v>1.1430336731541551E-2</v>
      </c>
      <c r="M44">
        <v>1.050355267222737E-2</v>
      </c>
      <c r="N44">
        <v>3.0892801977139327E-4</v>
      </c>
      <c r="O44">
        <v>0.11893728761198641</v>
      </c>
      <c r="P44">
        <v>4.3249922767995058E-3</v>
      </c>
    </row>
    <row r="45" spans="1:16" x14ac:dyDescent="0.2">
      <c r="A45" t="s">
        <v>72</v>
      </c>
      <c r="B45">
        <v>3</v>
      </c>
      <c r="C45">
        <v>3856</v>
      </c>
      <c r="D45">
        <v>7.0000000000000001E-3</v>
      </c>
      <c r="E45">
        <v>5.4988216810683424E-3</v>
      </c>
      <c r="F45">
        <f t="shared" si="0"/>
        <v>0.54988216810683421</v>
      </c>
      <c r="G45">
        <v>3.8661281015579918E-2</v>
      </c>
      <c r="H45">
        <f t="shared" si="1"/>
        <v>3.866128101557992</v>
      </c>
      <c r="I45">
        <v>2.3081361800346219E-3</v>
      </c>
      <c r="J45">
        <f t="shared" si="2"/>
        <v>0.2308136180034622</v>
      </c>
      <c r="K45">
        <v>4.0392383150605884E-3</v>
      </c>
      <c r="L45">
        <v>6.9244085401038661E-3</v>
      </c>
      <c r="M45">
        <v>3.462204270051933E-3</v>
      </c>
      <c r="N45">
        <v>2.8851702250432774E-4</v>
      </c>
      <c r="O45">
        <v>0.10415464512406232</v>
      </c>
      <c r="P45">
        <v>6.0588574725908831E-3</v>
      </c>
    </row>
    <row r="46" spans="1:16" x14ac:dyDescent="0.2">
      <c r="A46" t="s">
        <v>73</v>
      </c>
      <c r="B46">
        <v>4</v>
      </c>
      <c r="C46">
        <v>2723</v>
      </c>
      <c r="D46">
        <v>6.0000000000000001E-3</v>
      </c>
      <c r="E46">
        <v>4.212004212004212E-3</v>
      </c>
      <c r="F46">
        <f t="shared" si="0"/>
        <v>0.42120042120042123</v>
      </c>
      <c r="G46">
        <v>1.7913789886172794E-2</v>
      </c>
      <c r="H46">
        <f t="shared" si="1"/>
        <v>1.7913789886172795</v>
      </c>
      <c r="I46">
        <v>3.7320395596193321E-4</v>
      </c>
      <c r="J46">
        <f t="shared" si="2"/>
        <v>3.7320395596193323E-2</v>
      </c>
      <c r="K46">
        <v>5.9712632953909314E-3</v>
      </c>
      <c r="L46">
        <v>2.6124276917335325E-3</v>
      </c>
      <c r="M46">
        <v>2.2392237357715993E-3</v>
      </c>
      <c r="N46">
        <v>2.2392237357715993E-3</v>
      </c>
      <c r="O46">
        <v>0.18734838589289046</v>
      </c>
      <c r="P46">
        <v>1.6794178018286995E-3</v>
      </c>
    </row>
    <row r="47" spans="1:16" x14ac:dyDescent="0.2">
      <c r="A47" t="s">
        <v>74</v>
      </c>
      <c r="B47">
        <v>5</v>
      </c>
      <c r="C47">
        <v>1462</v>
      </c>
      <c r="D47">
        <v>1.6E-2</v>
      </c>
      <c r="E47">
        <v>1.3064640081974213E-2</v>
      </c>
      <c r="F47">
        <f t="shared" si="0"/>
        <v>1.3064640081974213</v>
      </c>
      <c r="G47">
        <v>1.6401590457256462E-2</v>
      </c>
      <c r="H47">
        <f t="shared" si="1"/>
        <v>1.6401590457256463</v>
      </c>
      <c r="I47">
        <v>7.4552683896620276E-4</v>
      </c>
      <c r="J47">
        <f t="shared" si="2"/>
        <v>7.4552683896620273E-2</v>
      </c>
      <c r="K47">
        <v>1.0934393638170975E-2</v>
      </c>
      <c r="L47">
        <v>7.8280318091451286E-3</v>
      </c>
      <c r="M47">
        <v>8.6978131212723663E-4</v>
      </c>
      <c r="N47">
        <v>2.3608349900596419E-3</v>
      </c>
      <c r="O47">
        <v>0.12910039761431411</v>
      </c>
      <c r="P47">
        <v>4.1003976143141156E-3</v>
      </c>
    </row>
    <row r="48" spans="1:16" x14ac:dyDescent="0.2">
      <c r="A48" t="s">
        <v>75</v>
      </c>
      <c r="B48">
        <v>3</v>
      </c>
      <c r="C48">
        <v>1618</v>
      </c>
      <c r="D48">
        <v>6.8000000000000005E-2</v>
      </c>
      <c r="E48">
        <v>3.7003981875600715E-2</v>
      </c>
      <c r="F48">
        <f t="shared" si="0"/>
        <v>3.7003981875600713</v>
      </c>
      <c r="G48">
        <v>1.5434782608695652E-2</v>
      </c>
      <c r="H48">
        <f t="shared" si="1"/>
        <v>1.5434782608695652</v>
      </c>
      <c r="I48">
        <v>1.9565217391304349E-3</v>
      </c>
      <c r="J48">
        <f t="shared" si="2"/>
        <v>0.19565217391304349</v>
      </c>
      <c r="K48">
        <v>1.2065217391304348E-2</v>
      </c>
      <c r="L48">
        <v>5.7608695652173912E-3</v>
      </c>
      <c r="M48">
        <v>8.6956521739130438E-4</v>
      </c>
      <c r="N48">
        <v>3.0434782608695652E-3</v>
      </c>
      <c r="O48">
        <v>0.10967391304347826</v>
      </c>
      <c r="P48">
        <v>5.2173913043478265E-3</v>
      </c>
    </row>
    <row r="49" spans="1:16" x14ac:dyDescent="0.2">
      <c r="A49" t="s">
        <v>76</v>
      </c>
      <c r="B49">
        <v>10</v>
      </c>
      <c r="C49">
        <v>1135</v>
      </c>
      <c r="D49">
        <v>0.16200000000000001</v>
      </c>
      <c r="E49">
        <v>0.11277866822089465</v>
      </c>
      <c r="F49">
        <f t="shared" si="0"/>
        <v>11.277866822089464</v>
      </c>
      <c r="G49">
        <v>1.3699817913812537E-2</v>
      </c>
      <c r="H49">
        <f t="shared" si="1"/>
        <v>1.3699817913812538</v>
      </c>
      <c r="I49">
        <v>2.6879389577733458E-3</v>
      </c>
      <c r="J49">
        <f t="shared" si="2"/>
        <v>0.26879389577733459</v>
      </c>
      <c r="K49">
        <v>5.9828318737535765E-3</v>
      </c>
      <c r="L49">
        <v>3.2081852076649613E-3</v>
      </c>
      <c r="M49">
        <v>1.2139079164137693E-3</v>
      </c>
      <c r="N49">
        <v>4.7689239573398077E-3</v>
      </c>
      <c r="O49">
        <v>6.1822596028786959E-2</v>
      </c>
      <c r="P49">
        <v>1.2052371455822422E-2</v>
      </c>
    </row>
    <row r="50" spans="1:16" x14ac:dyDescent="0.2">
      <c r="A50" t="s">
        <v>77</v>
      </c>
      <c r="B50">
        <v>7</v>
      </c>
      <c r="C50">
        <v>734</v>
      </c>
      <c r="D50">
        <v>0.183</v>
      </c>
      <c r="E50">
        <v>0.11638677285318559</v>
      </c>
      <c r="F50">
        <f t="shared" si="0"/>
        <v>11.638677285318559</v>
      </c>
      <c r="G50">
        <v>1.0483354673495518E-2</v>
      </c>
      <c r="H50">
        <f t="shared" si="1"/>
        <v>1.0483354673495517</v>
      </c>
      <c r="I50">
        <v>4.8815620998719587E-3</v>
      </c>
      <c r="J50">
        <f t="shared" si="2"/>
        <v>0.48815620998719589</v>
      </c>
      <c r="K50">
        <v>3.7612035851472469E-3</v>
      </c>
      <c r="L50">
        <v>1.2003841229193341E-3</v>
      </c>
      <c r="M50">
        <v>1.3604353393085787E-3</v>
      </c>
      <c r="N50">
        <v>2.8809218950064022E-3</v>
      </c>
      <c r="O50">
        <v>4.7295134443021768E-2</v>
      </c>
      <c r="P50">
        <v>2.1286811779769526E-2</v>
      </c>
    </row>
    <row r="51" spans="1:16" x14ac:dyDescent="0.2">
      <c r="A51" t="s">
        <v>78</v>
      </c>
      <c r="B51">
        <v>9</v>
      </c>
      <c r="C51">
        <v>346</v>
      </c>
      <c r="D51">
        <v>0.14799999999999999</v>
      </c>
      <c r="E51">
        <v>9.0919055187154055E-2</v>
      </c>
      <c r="F51">
        <f t="shared" si="0"/>
        <v>9.0919055187154054</v>
      </c>
      <c r="G51">
        <v>9.5070786400744036E-3</v>
      </c>
      <c r="H51">
        <f t="shared" si="1"/>
        <v>0.95070786400744034</v>
      </c>
      <c r="I51">
        <v>6.2002686783093931E-3</v>
      </c>
      <c r="J51">
        <f t="shared" si="2"/>
        <v>0.6200268678309393</v>
      </c>
      <c r="K51">
        <v>1.8600806034928181E-3</v>
      </c>
      <c r="L51">
        <v>2.066756226103131E-4</v>
      </c>
      <c r="M51">
        <v>2.1700940374082879E-3</v>
      </c>
      <c r="N51">
        <v>1.0333781130515657E-3</v>
      </c>
      <c r="O51">
        <v>5.9935930556990806E-2</v>
      </c>
      <c r="P51">
        <v>3.9888395163790433E-2</v>
      </c>
    </row>
    <row r="52" spans="1:16" x14ac:dyDescent="0.2">
      <c r="A52" t="s">
        <v>79</v>
      </c>
      <c r="B52">
        <v>4</v>
      </c>
      <c r="C52">
        <v>166</v>
      </c>
      <c r="D52">
        <v>0.104</v>
      </c>
      <c r="E52">
        <v>5.7434383623179104E-2</v>
      </c>
      <c r="F52">
        <f t="shared" si="0"/>
        <v>5.7434383623179102</v>
      </c>
      <c r="G52">
        <v>1.2999570262140095E-2</v>
      </c>
      <c r="H52">
        <f t="shared" si="1"/>
        <v>1.2999570262140094</v>
      </c>
      <c r="I52">
        <v>2.3420713364847443E-2</v>
      </c>
      <c r="J52">
        <f t="shared" si="2"/>
        <v>2.3420713364847443</v>
      </c>
      <c r="K52">
        <v>1.826385904598195E-3</v>
      </c>
      <c r="L52">
        <v>7.5204125483455087E-4</v>
      </c>
      <c r="M52">
        <v>1.0206274172754619E-2</v>
      </c>
      <c r="N52">
        <v>1.7189514396218307E-3</v>
      </c>
      <c r="O52">
        <v>7.1766222604211435E-2</v>
      </c>
      <c r="P52">
        <v>5.2428018908465837E-2</v>
      </c>
    </row>
    <row r="53" spans="1:16" x14ac:dyDescent="0.2">
      <c r="A53" s="3">
        <v>45383</v>
      </c>
      <c r="B53">
        <v>2</v>
      </c>
      <c r="C53">
        <v>286</v>
      </c>
      <c r="D53">
        <v>0.05</v>
      </c>
      <c r="E53">
        <v>2.5394113535761435E-2</v>
      </c>
      <c r="F53">
        <f t="shared" si="0"/>
        <v>2.5394113535761433</v>
      </c>
      <c r="G53">
        <v>1.8184022305734029E-2</v>
      </c>
      <c r="H53">
        <f t="shared" si="1"/>
        <v>1.8184022305734029</v>
      </c>
      <c r="I53">
        <v>5.0430355194569038E-2</v>
      </c>
      <c r="J53">
        <f t="shared" si="2"/>
        <v>5.0430355194569039</v>
      </c>
      <c r="K53">
        <v>1.8184022305734028E-3</v>
      </c>
      <c r="L53">
        <v>6.0613407685780097E-4</v>
      </c>
      <c r="M53">
        <v>2.9700569766032248E-2</v>
      </c>
      <c r="N53">
        <v>4.0004849072614859E-3</v>
      </c>
      <c r="O53">
        <v>0.10874045338828948</v>
      </c>
      <c r="P53">
        <v>3.0912837919747849E-2</v>
      </c>
    </row>
    <row r="54" spans="1:16" x14ac:dyDescent="0.2">
      <c r="A54" s="3">
        <v>45413</v>
      </c>
      <c r="B54">
        <v>3</v>
      </c>
      <c r="C54">
        <v>1119</v>
      </c>
      <c r="D54">
        <v>2.8000000000000001E-2</v>
      </c>
      <c r="E54">
        <v>1.1657463406082917E-2</v>
      </c>
      <c r="F54">
        <f t="shared" si="0"/>
        <v>1.1657463406082917</v>
      </c>
      <c r="G54">
        <v>1.7086444753828631E-2</v>
      </c>
      <c r="H54">
        <f t="shared" si="1"/>
        <v>1.7086444753828631</v>
      </c>
      <c r="I54">
        <v>5.5309454499430449E-2</v>
      </c>
      <c r="J54">
        <f t="shared" si="2"/>
        <v>5.5309454499430446</v>
      </c>
      <c r="K54">
        <v>3.1641564358941905E-3</v>
      </c>
      <c r="L54">
        <v>3.7969877230730289E-4</v>
      </c>
      <c r="M54">
        <v>6.2144032400961904E-2</v>
      </c>
      <c r="N54">
        <v>4.176686495380332E-3</v>
      </c>
      <c r="O54">
        <v>0.13479306416909251</v>
      </c>
      <c r="P54">
        <v>1.5187950892292116E-2</v>
      </c>
    </row>
    <row r="55" spans="1:16" x14ac:dyDescent="0.2">
      <c r="A55" s="3">
        <v>45444</v>
      </c>
      <c r="B55">
        <v>3</v>
      </c>
      <c r="C55">
        <v>1282</v>
      </c>
      <c r="D55">
        <v>1.4999999999999999E-2</v>
      </c>
      <c r="E55">
        <v>4.3874081386420976E-3</v>
      </c>
      <c r="F55">
        <f t="shared" si="0"/>
        <v>0.43874081386420977</v>
      </c>
      <c r="G55">
        <v>2.1200841560122998E-2</v>
      </c>
      <c r="H55">
        <f t="shared" si="1"/>
        <v>2.1200841560122998</v>
      </c>
      <c r="I55">
        <v>4.0135944327561096E-2</v>
      </c>
      <c r="J55">
        <f t="shared" si="2"/>
        <v>4.0135944327561095</v>
      </c>
      <c r="K55">
        <v>2.9130927334520148E-3</v>
      </c>
      <c r="L55">
        <v>3.2367697038355721E-4</v>
      </c>
      <c r="M55">
        <v>5.9071047094999191E-2</v>
      </c>
      <c r="N55">
        <v>4.2078006149862436E-3</v>
      </c>
      <c r="O55">
        <v>0.1187894481307655</v>
      </c>
      <c r="P55">
        <v>9.7103091115067156E-3</v>
      </c>
    </row>
    <row r="56" spans="1:16" x14ac:dyDescent="0.2">
      <c r="A56" s="3">
        <v>45474</v>
      </c>
      <c r="B56">
        <v>4</v>
      </c>
      <c r="C56">
        <v>1877</v>
      </c>
      <c r="D56">
        <v>0.01</v>
      </c>
      <c r="E56">
        <v>2.1715526601520088E-3</v>
      </c>
      <c r="F56">
        <f t="shared" si="0"/>
        <v>0.21715526601520088</v>
      </c>
      <c r="G56">
        <v>1.1686143572621035E-2</v>
      </c>
      <c r="H56">
        <f t="shared" si="1"/>
        <v>1.1686143572621035</v>
      </c>
      <c r="I56">
        <v>7.7212020033388985E-3</v>
      </c>
      <c r="J56">
        <f t="shared" si="2"/>
        <v>0.77212020033388984</v>
      </c>
      <c r="K56">
        <v>1.8781302170283807E-3</v>
      </c>
      <c r="L56">
        <v>8.3472454090150253E-4</v>
      </c>
      <c r="M56">
        <v>1.815525876460768E-2</v>
      </c>
      <c r="N56">
        <v>5.4257095158597663E-3</v>
      </c>
      <c r="O56">
        <v>7.6377295492487479E-2</v>
      </c>
      <c r="P56">
        <v>4.5909849749582636E-3</v>
      </c>
    </row>
    <row r="57" spans="1:16" x14ac:dyDescent="0.2">
      <c r="A57" s="3">
        <v>45505</v>
      </c>
      <c r="B57">
        <v>3</v>
      </c>
      <c r="C57">
        <v>2475</v>
      </c>
      <c r="D57">
        <v>4.0000000000000001E-3</v>
      </c>
      <c r="E57">
        <v>9.5831336847149022E-4</v>
      </c>
      <c r="F57">
        <f t="shared" si="0"/>
        <v>9.5831336847149021E-2</v>
      </c>
      <c r="G57">
        <v>1.3489208633093525E-2</v>
      </c>
      <c r="H57">
        <f t="shared" si="1"/>
        <v>1.3489208633093526</v>
      </c>
      <c r="I57">
        <v>6.6321942446043169E-2</v>
      </c>
      <c r="J57">
        <f t="shared" si="2"/>
        <v>6.6321942446043174</v>
      </c>
      <c r="K57">
        <v>2.0233812949640288E-3</v>
      </c>
      <c r="L57">
        <v>1.7985611510791368E-3</v>
      </c>
      <c r="M57">
        <v>2.0233812949640288E-3</v>
      </c>
      <c r="N57">
        <v>7.8687050359712227E-3</v>
      </c>
      <c r="O57">
        <v>9.8471223021582732E-2</v>
      </c>
      <c r="P57">
        <v>2.9226618705035972E-3</v>
      </c>
    </row>
    <row r="58" spans="1:16" x14ac:dyDescent="0.2">
      <c r="A58" s="3">
        <v>45536</v>
      </c>
      <c r="B58">
        <v>4</v>
      </c>
      <c r="C58">
        <v>2281</v>
      </c>
      <c r="D58">
        <v>4.0000000000000001E-3</v>
      </c>
      <c r="E58">
        <v>6.7613252197430695E-4</v>
      </c>
      <c r="F58">
        <f t="shared" si="0"/>
        <v>6.7613252197430695E-2</v>
      </c>
      <c r="G58">
        <v>1.1423699914748509E-2</v>
      </c>
      <c r="H58">
        <f t="shared" si="1"/>
        <v>1.1423699914748509</v>
      </c>
      <c r="I58">
        <v>6.8201193520886613E-4</v>
      </c>
      <c r="J58">
        <f t="shared" si="2"/>
        <v>6.8201193520886619E-2</v>
      </c>
      <c r="K58">
        <v>2.8985507246376812E-3</v>
      </c>
      <c r="L58">
        <v>1.8755328218243818E-3</v>
      </c>
      <c r="M58">
        <v>1.7050298380221654E-3</v>
      </c>
      <c r="N58">
        <v>9.5481670929241265E-3</v>
      </c>
      <c r="O58">
        <v>0.18414322250639387</v>
      </c>
      <c r="P58">
        <v>3.7510656436487637E-3</v>
      </c>
    </row>
    <row r="59" spans="1:16" x14ac:dyDescent="0.2">
      <c r="A59" s="3">
        <v>45566</v>
      </c>
      <c r="B59">
        <v>6</v>
      </c>
      <c r="C59">
        <v>1692</v>
      </c>
      <c r="D59">
        <v>1.2999999999999999E-2</v>
      </c>
      <c r="E59">
        <v>2.5272161741835149E-3</v>
      </c>
      <c r="F59">
        <f t="shared" si="0"/>
        <v>0.25272161741835147</v>
      </c>
      <c r="G59">
        <v>1.4705882352941176E-2</v>
      </c>
      <c r="H59">
        <f t="shared" si="1"/>
        <v>1.4705882352941175</v>
      </c>
      <c r="I59">
        <v>1.758312020460358E-3</v>
      </c>
      <c r="J59">
        <f t="shared" si="2"/>
        <v>0.17583120204603581</v>
      </c>
      <c r="K59">
        <v>7.8324808184143217E-3</v>
      </c>
      <c r="L59">
        <v>2.5575447570332483E-3</v>
      </c>
      <c r="M59">
        <v>1.9181585677749361E-3</v>
      </c>
      <c r="N59">
        <v>1.6144501278772379E-2</v>
      </c>
      <c r="O59">
        <v>0.17471227621483376</v>
      </c>
      <c r="P59">
        <v>3.6764705882352941E-3</v>
      </c>
    </row>
    <row r="60" spans="1:16" x14ac:dyDescent="0.2">
      <c r="A60" s="3">
        <v>45597</v>
      </c>
      <c r="B60">
        <v>2</v>
      </c>
      <c r="C60">
        <v>1271</v>
      </c>
      <c r="D60">
        <v>2.9000000000000001E-2</v>
      </c>
      <c r="E60">
        <v>1.2533875338753388E-2</v>
      </c>
      <c r="F60">
        <f t="shared" si="0"/>
        <v>1.2533875338753389</v>
      </c>
      <c r="G60">
        <v>1.7851693622215441E-2</v>
      </c>
      <c r="H60">
        <f t="shared" si="1"/>
        <v>1.7851693622215441</v>
      </c>
      <c r="I60">
        <v>2.4412572474824534E-3</v>
      </c>
      <c r="J60">
        <f t="shared" si="2"/>
        <v>0.24412572474824534</v>
      </c>
      <c r="K60">
        <v>1.5715593530668294E-2</v>
      </c>
      <c r="L60">
        <v>1.5257857796765334E-3</v>
      </c>
      <c r="M60">
        <v>3.9670430271589868E-3</v>
      </c>
      <c r="N60">
        <v>2.0140372291730241E-2</v>
      </c>
      <c r="O60">
        <v>0.16081782117790663</v>
      </c>
      <c r="P60">
        <v>1.1748550503509307E-2</v>
      </c>
    </row>
    <row r="61" spans="1:16" x14ac:dyDescent="0.2">
      <c r="A61" s="3">
        <v>45627</v>
      </c>
      <c r="B61">
        <v>8</v>
      </c>
      <c r="C61">
        <v>522</v>
      </c>
      <c r="D61">
        <v>7.9000000000000001E-2</v>
      </c>
      <c r="E61">
        <v>3.8314663951120161E-2</v>
      </c>
      <c r="F61">
        <f t="shared" si="0"/>
        <v>3.8314663951120163</v>
      </c>
      <c r="G61">
        <v>1.4201815269620929E-2</v>
      </c>
      <c r="H61">
        <f t="shared" si="1"/>
        <v>1.420181526962093</v>
      </c>
      <c r="I61">
        <v>4.6983449012279769E-3</v>
      </c>
      <c r="J61">
        <f t="shared" si="2"/>
        <v>0.46983449012279771</v>
      </c>
      <c r="K61">
        <v>1.398825413774693E-2</v>
      </c>
      <c r="L61">
        <v>1.8152696209289909E-3</v>
      </c>
      <c r="M61">
        <v>1.0678056593699946E-3</v>
      </c>
      <c r="N61">
        <v>1.6444207154297917E-2</v>
      </c>
      <c r="O61">
        <v>0.10966364121729845</v>
      </c>
      <c r="P61">
        <v>3.4276561665776827E-2</v>
      </c>
    </row>
    <row r="62" spans="1:16" x14ac:dyDescent="0.2">
      <c r="A62" s="3">
        <v>45658</v>
      </c>
      <c r="B62">
        <v>6</v>
      </c>
      <c r="D62">
        <v>0.193</v>
      </c>
      <c r="E62">
        <v>8.1889062151926928E-2</v>
      </c>
      <c r="F62">
        <f t="shared" si="0"/>
        <v>8.1889062151926932</v>
      </c>
      <c r="G62">
        <v>1.0038281582305401E-2</v>
      </c>
      <c r="H62">
        <f t="shared" si="1"/>
        <v>1.0038281582305402</v>
      </c>
      <c r="I62">
        <v>9.4427903019991492E-3</v>
      </c>
      <c r="J62">
        <f t="shared" si="2"/>
        <v>0.94427903019991488</v>
      </c>
      <c r="K62">
        <v>6.2101233517652061E-3</v>
      </c>
      <c r="L62">
        <v>1.0208421948107189E-3</v>
      </c>
      <c r="M62">
        <v>3.1475967673330499E-3</v>
      </c>
      <c r="N62">
        <v>5.4444917056571673E-3</v>
      </c>
      <c r="O62">
        <v>5.7847724372607399E-2</v>
      </c>
      <c r="P62">
        <v>4.2535091450446622E-2</v>
      </c>
    </row>
    <row r="63" spans="1:16" x14ac:dyDescent="0.2">
      <c r="A63" s="3">
        <v>45689</v>
      </c>
      <c r="B63">
        <v>12</v>
      </c>
      <c r="D63">
        <v>0.223</v>
      </c>
      <c r="E63">
        <v>0.10701776074504471</v>
      </c>
      <c r="F63">
        <f t="shared" si="0"/>
        <v>10.701776074504471</v>
      </c>
      <c r="G63">
        <v>7.6738609112709834E-3</v>
      </c>
      <c r="H63">
        <f t="shared" si="1"/>
        <v>0.76738609112709832</v>
      </c>
      <c r="I63">
        <v>1.5667466027178258E-2</v>
      </c>
      <c r="J63">
        <f t="shared" si="2"/>
        <v>1.5667466027178258</v>
      </c>
      <c r="K63">
        <v>2.4780175859312548E-3</v>
      </c>
      <c r="L63">
        <v>4.7961630695443646E-4</v>
      </c>
      <c r="M63">
        <v>1.6786570743405275E-3</v>
      </c>
      <c r="N63">
        <v>1.9984012789768186E-3</v>
      </c>
      <c r="O63">
        <v>4.5163868904876101E-2</v>
      </c>
      <c r="P63">
        <v>3.7569944044764186E-2</v>
      </c>
    </row>
    <row r="64" spans="1:16" x14ac:dyDescent="0.2">
      <c r="A64" s="3">
        <v>45717</v>
      </c>
      <c r="B64">
        <v>7</v>
      </c>
      <c r="D64">
        <v>0.115</v>
      </c>
      <c r="E64">
        <v>9.1640190627482132E-2</v>
      </c>
      <c r="F64">
        <f t="shared" si="0"/>
        <v>9.1640190627482134</v>
      </c>
      <c r="G64">
        <v>1.3240228529971887E-2</v>
      </c>
      <c r="H64">
        <f t="shared" si="1"/>
        <v>1.3240228529971887</v>
      </c>
      <c r="I64">
        <v>3.5458420241226078E-2</v>
      </c>
      <c r="J64">
        <f t="shared" si="2"/>
        <v>3.5458420241226078</v>
      </c>
      <c r="K64">
        <v>1.5416704452706992E-3</v>
      </c>
      <c r="L64">
        <v>1.1789244581481817E-3</v>
      </c>
      <c r="M64">
        <v>1.0519633626553006E-2</v>
      </c>
      <c r="N64">
        <v>1.6323569420513286E-3</v>
      </c>
      <c r="O64">
        <v>7.0100662011426493E-2</v>
      </c>
      <c r="P64">
        <v>4.0174118073818807E-2</v>
      </c>
    </row>
    <row r="65" spans="1:16" x14ac:dyDescent="0.2">
      <c r="A65" s="3">
        <v>45748</v>
      </c>
      <c r="B65">
        <v>4</v>
      </c>
      <c r="D65">
        <v>4.5999999999999999E-2</v>
      </c>
      <c r="E65">
        <v>4.6738964411180695E-2</v>
      </c>
      <c r="F65">
        <f t="shared" si="0"/>
        <v>4.6738964411180692</v>
      </c>
      <c r="G65">
        <v>1.6837284482758622E-2</v>
      </c>
      <c r="H65">
        <f t="shared" si="1"/>
        <v>1.6837284482758623</v>
      </c>
      <c r="I65">
        <v>5.4552801724137928E-2</v>
      </c>
      <c r="J65">
        <f t="shared" si="2"/>
        <v>5.4552801724137927</v>
      </c>
      <c r="K65">
        <v>3.2327586206896551E-3</v>
      </c>
      <c r="L65">
        <v>4.0409482758620689E-4</v>
      </c>
      <c r="M65">
        <v>2.7613146551724137E-2</v>
      </c>
      <c r="N65">
        <v>1.0775862068965517E-3</v>
      </c>
      <c r="O65">
        <v>0.10317887931034483</v>
      </c>
      <c r="P65">
        <v>2.8017241379310345E-2</v>
      </c>
    </row>
    <row r="66" spans="1:16" x14ac:dyDescent="0.2">
      <c r="A66" s="3">
        <v>45778</v>
      </c>
      <c r="B66">
        <v>4</v>
      </c>
      <c r="D66">
        <v>4.2999999999999997E-2</v>
      </c>
      <c r="E66">
        <v>1.1315013787201674E-2</v>
      </c>
      <c r="F66">
        <f t="shared" si="0"/>
        <v>1.1315013787201673</v>
      </c>
      <c r="G66">
        <v>1.7577266735022704E-2</v>
      </c>
      <c r="H66">
        <f t="shared" si="1"/>
        <v>1.7577266735022703</v>
      </c>
      <c r="I66">
        <v>4.3503735169181192E-2</v>
      </c>
      <c r="J66">
        <f t="shared" si="2"/>
        <v>4.3503735169181192</v>
      </c>
      <c r="K66">
        <v>6.2985205800498026E-3</v>
      </c>
      <c r="L66">
        <v>1.6112494507104144E-3</v>
      </c>
      <c r="M66">
        <v>5.1413505199941409E-2</v>
      </c>
      <c r="N66">
        <v>1.4647722279185587E-4</v>
      </c>
      <c r="O66">
        <v>0.13007177383916801</v>
      </c>
      <c r="P66">
        <v>1.0546360041013622E-2</v>
      </c>
    </row>
    <row r="67" spans="1:16" x14ac:dyDescent="0.2">
      <c r="A67" s="3">
        <v>45809</v>
      </c>
      <c r="B67">
        <v>3</v>
      </c>
      <c r="D67">
        <v>2.7E-2</v>
      </c>
      <c r="E67">
        <v>3.5906642728904849E-3</v>
      </c>
      <c r="F67">
        <f t="shared" si="0"/>
        <v>0.35906642728904847</v>
      </c>
      <c r="G67">
        <v>1.230827494792653E-2</v>
      </c>
      <c r="H67">
        <f t="shared" si="1"/>
        <v>1.230827494792653</v>
      </c>
      <c r="I67">
        <v>2.0450672221170235E-2</v>
      </c>
      <c r="J67">
        <f t="shared" si="2"/>
        <v>2.0450672221170234</v>
      </c>
      <c r="K67">
        <v>3.2190872940730921E-3</v>
      </c>
      <c r="L67">
        <v>3.7871615224389322E-3</v>
      </c>
      <c r="M67">
        <v>4.2605567127437988E-2</v>
      </c>
      <c r="N67">
        <v>1.7042226850975193E-3</v>
      </c>
      <c r="O67">
        <v>0.1113425487597046</v>
      </c>
      <c r="P67">
        <v>8.710471501609543E-3</v>
      </c>
    </row>
    <row r="68" spans="1:16" x14ac:dyDescent="0.2">
      <c r="A68" s="3">
        <v>45839</v>
      </c>
      <c r="B68">
        <v>2</v>
      </c>
      <c r="D68">
        <v>8.0000000000000002E-3</v>
      </c>
      <c r="E68">
        <v>2.682234143262859E-3</v>
      </c>
      <c r="F68">
        <f t="shared" si="0"/>
        <v>0.26822341432628588</v>
      </c>
      <c r="G68">
        <v>1.0653753026634382E-2</v>
      </c>
      <c r="H68">
        <f t="shared" si="1"/>
        <v>1.0653753026634383</v>
      </c>
      <c r="I68">
        <v>1.1138014527845037E-2</v>
      </c>
      <c r="J68">
        <f t="shared" si="2"/>
        <v>1.1138014527845037</v>
      </c>
      <c r="K68">
        <v>2.6634382566585956E-3</v>
      </c>
      <c r="L68">
        <v>4.6004842615012106E-3</v>
      </c>
      <c r="M68">
        <v>1.9128329297820823E-2</v>
      </c>
      <c r="N68">
        <v>7.2639225181598058E-4</v>
      </c>
      <c r="O68">
        <v>8.2566585956416472E-2</v>
      </c>
      <c r="P68">
        <v>3.87409200968523E-3</v>
      </c>
    </row>
    <row r="69" spans="1:16" x14ac:dyDescent="0.2">
      <c r="A69" s="3">
        <v>45870</v>
      </c>
      <c r="B69">
        <v>0</v>
      </c>
      <c r="D69">
        <v>4.0000000000000001E-3</v>
      </c>
      <c r="E69">
        <v>8.0873433077234124E-4</v>
      </c>
      <c r="F69">
        <f t="shared" si="0"/>
        <v>8.087343307723413E-2</v>
      </c>
      <c r="G69">
        <v>8.3737329219920678E-3</v>
      </c>
      <c r="H69">
        <f t="shared" si="1"/>
        <v>0.83737329219920675</v>
      </c>
      <c r="I69">
        <v>1.5425297487880124E-3</v>
      </c>
      <c r="J69">
        <f t="shared" si="2"/>
        <v>0.15425297487880124</v>
      </c>
      <c r="K69">
        <v>3.0850594975760249E-3</v>
      </c>
      <c r="L69">
        <v>6.1701189951520498E-3</v>
      </c>
      <c r="M69">
        <v>5.5090348171000442E-3</v>
      </c>
      <c r="N69">
        <v>6.6108417805200526E-4</v>
      </c>
      <c r="O69">
        <v>9.4755398854120765E-2</v>
      </c>
      <c r="P69">
        <v>1.7628911414720142E-3</v>
      </c>
    </row>
    <row r="70" spans="1:16" x14ac:dyDescent="0.2">
      <c r="A70" s="3">
        <v>45901</v>
      </c>
      <c r="B70">
        <v>4</v>
      </c>
      <c r="D70">
        <v>4.0000000000000001E-3</v>
      </c>
      <c r="E70">
        <v>2.9394473838918284E-4</v>
      </c>
      <c r="F70">
        <f t="shared" si="0"/>
        <v>2.9394473838918283E-2</v>
      </c>
      <c r="G70">
        <v>8.2505472301734294E-3</v>
      </c>
      <c r="H70">
        <f t="shared" si="1"/>
        <v>0.82505472301734295</v>
      </c>
      <c r="I70">
        <v>1.0102710894089914E-3</v>
      </c>
      <c r="J70">
        <f t="shared" si="2"/>
        <v>0.10102710894089914</v>
      </c>
      <c r="K70">
        <v>3.7043273278329686E-3</v>
      </c>
      <c r="L70">
        <v>1.0271089408991413E-2</v>
      </c>
      <c r="M70">
        <v>2.0205421788179827E-3</v>
      </c>
      <c r="N70">
        <v>6.7351405960599424E-4</v>
      </c>
      <c r="O70">
        <v>0.17006230005051357</v>
      </c>
      <c r="P70">
        <v>2.1889206937194812E-3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E8FA-C061-294D-965F-CB3A443E3687}">
  <dimension ref="C2:K9"/>
  <sheetViews>
    <sheetView zoomScale="59" workbookViewId="0">
      <selection activeCell="H9" sqref="C2:K9"/>
    </sheetView>
  </sheetViews>
  <sheetFormatPr baseColWidth="10" defaultRowHeight="16" x14ac:dyDescent="0.2"/>
  <sheetData>
    <row r="2" spans="3:11" x14ac:dyDescent="0.2"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</row>
    <row r="3" spans="3:11" x14ac:dyDescent="0.2">
      <c r="C3">
        <v>503</v>
      </c>
      <c r="D3">
        <v>230</v>
      </c>
      <c r="E3">
        <v>173</v>
      </c>
      <c r="F3">
        <v>120</v>
      </c>
      <c r="G3">
        <v>110</v>
      </c>
      <c r="H3">
        <v>97</v>
      </c>
      <c r="I3">
        <v>100</v>
      </c>
      <c r="J3">
        <v>210</v>
      </c>
      <c r="K3">
        <v>404</v>
      </c>
    </row>
    <row r="4" spans="3:11" x14ac:dyDescent="0.2">
      <c r="C4">
        <v>365</v>
      </c>
      <c r="D4">
        <v>210</v>
      </c>
      <c r="E4">
        <v>167</v>
      </c>
      <c r="F4">
        <v>112</v>
      </c>
      <c r="G4">
        <v>97</v>
      </c>
      <c r="H4">
        <v>70</v>
      </c>
      <c r="I4">
        <v>117</v>
      </c>
      <c r="J4">
        <v>247</v>
      </c>
      <c r="K4">
        <v>364</v>
      </c>
    </row>
    <row r="5" spans="3:11" x14ac:dyDescent="0.2">
      <c r="C5">
        <v>260</v>
      </c>
      <c r="D5">
        <v>219</v>
      </c>
      <c r="E5">
        <v>165</v>
      </c>
      <c r="F5">
        <v>111</v>
      </c>
      <c r="G5">
        <v>100</v>
      </c>
      <c r="H5">
        <v>91</v>
      </c>
      <c r="I5">
        <v>131</v>
      </c>
      <c r="J5">
        <v>340</v>
      </c>
      <c r="K5">
        <v>319</v>
      </c>
    </row>
    <row r="6" spans="3:11" x14ac:dyDescent="0.2">
      <c r="C6">
        <v>219</v>
      </c>
      <c r="D6">
        <v>196</v>
      </c>
      <c r="E6">
        <v>134</v>
      </c>
      <c r="F6">
        <v>98</v>
      </c>
      <c r="G6">
        <v>74</v>
      </c>
      <c r="H6">
        <v>94</v>
      </c>
      <c r="I6">
        <v>130</v>
      </c>
      <c r="J6">
        <v>420</v>
      </c>
      <c r="K6">
        <v>248</v>
      </c>
    </row>
    <row r="7" spans="3:11" x14ac:dyDescent="0.2">
      <c r="C7">
        <f>SUM(C3:C6)</f>
        <v>1347</v>
      </c>
      <c r="D7">
        <f t="shared" ref="D7:K7" si="0">SUM(D3:D6)</f>
        <v>855</v>
      </c>
      <c r="E7">
        <f t="shared" si="0"/>
        <v>639</v>
      </c>
      <c r="F7">
        <v>114</v>
      </c>
      <c r="G7">
        <f t="shared" si="0"/>
        <v>381</v>
      </c>
      <c r="H7">
        <f t="shared" si="0"/>
        <v>352</v>
      </c>
      <c r="I7">
        <v>170</v>
      </c>
      <c r="J7">
        <f t="shared" si="0"/>
        <v>1217</v>
      </c>
      <c r="K7">
        <f t="shared" si="0"/>
        <v>1335</v>
      </c>
    </row>
    <row r="8" spans="3:11" x14ac:dyDescent="0.2">
      <c r="C8">
        <f>C7*0.25</f>
        <v>336.75</v>
      </c>
      <c r="D8">
        <f t="shared" ref="D8:G8" si="1">D7*0.25</f>
        <v>213.75</v>
      </c>
      <c r="E8">
        <f t="shared" si="1"/>
        <v>159.75</v>
      </c>
      <c r="F8">
        <f t="shared" si="1"/>
        <v>28.5</v>
      </c>
      <c r="G8">
        <f t="shared" si="1"/>
        <v>95.25</v>
      </c>
      <c r="H8">
        <f>SUM(H3:H7)</f>
        <v>704</v>
      </c>
      <c r="I8">
        <f>SUM(I3:I7)</f>
        <v>648</v>
      </c>
      <c r="J8">
        <f t="shared" ref="J8:K8" si="2">J7*0.25</f>
        <v>304.25</v>
      </c>
      <c r="K8">
        <f t="shared" si="2"/>
        <v>333.75</v>
      </c>
    </row>
    <row r="9" spans="3:11" x14ac:dyDescent="0.2">
      <c r="H9">
        <f>H8*0.25</f>
        <v>176</v>
      </c>
      <c r="I9">
        <f>I8*0.25</f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Sheet8</vt:lpstr>
      <vt:lpstr>Sheet5</vt:lpstr>
      <vt:lpstr>USE THIS!</vt:lpstr>
      <vt:lpstr>Sheet7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Vloka</dc:creator>
  <cp:lastModifiedBy>Caroline Vloka</cp:lastModifiedBy>
  <dcterms:created xsi:type="dcterms:W3CDTF">2024-08-16T11:57:34Z</dcterms:created>
  <dcterms:modified xsi:type="dcterms:W3CDTF">2026-03-09T17:55:51Z</dcterms:modified>
</cp:coreProperties>
</file>